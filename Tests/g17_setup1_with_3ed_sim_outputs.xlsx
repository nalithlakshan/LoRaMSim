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440292_ad_unsw_edu_au/Documents/MyPhD-Workspace/Codes/LoRaMeshSimulator-V3/Tests/"/>
    </mc:Choice>
  </mc:AlternateContent>
  <xr:revisionPtr revIDLastSave="81" documentId="11_F44EEB0FD870365EED5B449649C126FA3AABF9F3" xr6:coauthVersionLast="47" xr6:coauthVersionMax="47" xr10:uidLastSave="{590C7A47-414F-4832-98FB-7C6B2951DFCE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2" i="1"/>
  <c r="O3" i="1"/>
  <c r="O4" i="1"/>
  <c r="O5" i="1"/>
  <c r="O6" i="1"/>
  <c r="O7" i="1"/>
  <c r="O2" i="1"/>
</calcChain>
</file>

<file path=xl/sharedStrings.xml><?xml version="1.0" encoding="utf-8"?>
<sst xmlns="http://schemas.openxmlformats.org/spreadsheetml/2006/main" count="28" uniqueCount="8">
  <si>
    <t>---&gt; DER:</t>
  </si>
  <si>
    <t>---&gt; Avg Latency:</t>
  </si>
  <si>
    <t>---&gt; Min Latency:</t>
  </si>
  <si>
    <t>---&gt; Max Latency:</t>
  </si>
  <si>
    <t>Avg. interval of an ED transmitting DATA (s)</t>
  </si>
  <si>
    <t>Packet Delivery Ratio (PDR)</t>
  </si>
  <si>
    <t>Deployment- Packets Received</t>
  </si>
  <si>
    <t>PDR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</si>
</sst>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05503293412891"/>
          <c:y val="0.1133048968317701"/>
          <c:w val="0.82293522529325969"/>
          <c:h val="0.72290926719404414"/>
        </c:manualLayout>
      </c:layout>
      <c:lineChart>
        <c:grouping val="standard"/>
        <c:varyColors val="0"/>
        <c:ser>
          <c:idx val="0"/>
          <c:order val="0"/>
          <c:tx>
            <c:v>Simulation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Sheet1!$O$2:$O$7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cat>
          <c:val>
            <c:numRef>
              <c:f>Sheet1!$G$2:$G$7</c:f>
              <c:numCache>
                <c:formatCode>General</c:formatCode>
                <c:ptCount val="6"/>
                <c:pt idx="0">
                  <c:v>0.93100000000000005</c:v>
                </c:pt>
                <c:pt idx="1">
                  <c:v>0.96699999999999997</c:v>
                </c:pt>
                <c:pt idx="2">
                  <c:v>0.97</c:v>
                </c:pt>
                <c:pt idx="3">
                  <c:v>0.98599999999999999</c:v>
                </c:pt>
                <c:pt idx="4">
                  <c:v>0.99299999999999999</c:v>
                </c:pt>
                <c:pt idx="5">
                  <c:v>0.995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05-45EB-B6A5-582019340B25}"/>
            </c:ext>
          </c:extLst>
        </c:ser>
        <c:ser>
          <c:idx val="1"/>
          <c:order val="1"/>
          <c:tx>
            <c:v>Real Deployment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Sheet1!$U$2:$U$7</c:f>
              <c:numCache>
                <c:formatCode>General</c:formatCode>
                <c:ptCount val="6"/>
                <c:pt idx="0">
                  <c:v>0.91100000000000003</c:v>
                </c:pt>
                <c:pt idx="1">
                  <c:v>0.94799999999999995</c:v>
                </c:pt>
                <c:pt idx="2">
                  <c:v>0.95499999999999996</c:v>
                </c:pt>
                <c:pt idx="3">
                  <c:v>0.96499999999999997</c:v>
                </c:pt>
                <c:pt idx="4">
                  <c:v>0.98599999999999999</c:v>
                </c:pt>
                <c:pt idx="5">
                  <c:v>0.99099999999999999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05-45EB-B6A5-582019340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3827839"/>
        <c:axId val="1913825439"/>
      </c:lineChart>
      <c:catAx>
        <c:axId val="191382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Avg. interval of an ED transmitting DATA (s)</a:t>
                </a:r>
              </a:p>
            </c:rich>
          </c:tx>
          <c:layout>
            <c:manualLayout>
              <c:xMode val="edge"/>
              <c:yMode val="edge"/>
              <c:x val="0.23689304132426295"/>
              <c:y val="0.915902943967404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825439"/>
        <c:crosses val="autoZero"/>
        <c:auto val="1"/>
        <c:lblAlgn val="ctr"/>
        <c:lblOffset val="100"/>
        <c:noMultiLvlLbl val="0"/>
      </c:catAx>
      <c:valAx>
        <c:axId val="1913825439"/>
        <c:scaling>
          <c:orientation val="minMax"/>
          <c:max val="1"/>
          <c:min val="0.8400000000000000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Packet Delivery Ratio (PDR)</a:t>
                </a:r>
              </a:p>
            </c:rich>
          </c:tx>
          <c:layout>
            <c:manualLayout>
              <c:xMode val="edge"/>
              <c:yMode val="edge"/>
              <c:x val="1.1427633327207419E-2"/>
              <c:y val="0.218603909212698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82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40444</xdr:colOff>
      <xdr:row>10</xdr:row>
      <xdr:rowOff>109905</xdr:rowOff>
    </xdr:from>
    <xdr:to>
      <xdr:col>23</xdr:col>
      <xdr:colOff>103161</xdr:colOff>
      <xdr:row>23</xdr:row>
      <xdr:rowOff>175846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3F3CF2-99A9-9325-6DDF-5C2921C1A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tabSelected="1" zoomScale="102" zoomScaleNormal="130" workbookViewId="0">
      <selection activeCell="M22" sqref="M22"/>
    </sheetView>
  </sheetViews>
  <sheetFormatPr defaultRowHeight="14.4" x14ac:dyDescent="0.3"/>
  <cols>
    <col min="2" max="2" width="9.44140625" customWidth="1"/>
    <col min="7" max="7" width="20.88671875" customWidth="1"/>
    <col min="8" max="8" width="20.44140625" customWidth="1"/>
    <col min="9" max="9" width="13.21875" customWidth="1"/>
    <col min="10" max="10" width="16.44140625" customWidth="1"/>
    <col min="11" max="11" width="14.21875" customWidth="1"/>
    <col min="12" max="12" width="13.109375" customWidth="1"/>
    <col min="18" max="18" width="2" customWidth="1"/>
    <col min="19" max="19" width="3.44140625" customWidth="1"/>
    <col min="20" max="20" width="26.88671875" customWidth="1"/>
  </cols>
  <sheetData>
    <row r="1" spans="1:21" x14ac:dyDescent="0.3">
      <c r="G1" t="s">
        <v>5</v>
      </c>
      <c r="O1" t="s">
        <v>4</v>
      </c>
      <c r="T1" t="s">
        <v>6</v>
      </c>
      <c r="U1" t="s">
        <v>7</v>
      </c>
    </row>
    <row r="2" spans="1:21" x14ac:dyDescent="0.3">
      <c r="A2">
        <v>1</v>
      </c>
      <c r="B2">
        <v>5</v>
      </c>
      <c r="C2">
        <v>3</v>
      </c>
      <c r="D2">
        <v>10000</v>
      </c>
      <c r="E2">
        <v>1000</v>
      </c>
      <c r="F2" t="s">
        <v>0</v>
      </c>
      <c r="G2">
        <v>0.93100000000000005</v>
      </c>
      <c r="H2" t="s">
        <v>1</v>
      </c>
      <c r="I2">
        <v>10314.840532610369</v>
      </c>
      <c r="J2" t="s">
        <v>2</v>
      </c>
      <c r="K2">
        <v>620.42376233544201</v>
      </c>
      <c r="L2" t="s">
        <v>3</v>
      </c>
      <c r="M2">
        <v>35238.868000862421</v>
      </c>
      <c r="O2">
        <f>D2/1000</f>
        <v>10</v>
      </c>
      <c r="T2">
        <v>911</v>
      </c>
      <c r="U2">
        <f>T2/1000</f>
        <v>0.91100000000000003</v>
      </c>
    </row>
    <row r="3" spans="1:21" x14ac:dyDescent="0.3">
      <c r="A3">
        <v>1</v>
      </c>
      <c r="B3">
        <v>5</v>
      </c>
      <c r="C3">
        <v>3</v>
      </c>
      <c r="D3">
        <v>20000</v>
      </c>
      <c r="E3">
        <v>1000</v>
      </c>
      <c r="F3" t="s">
        <v>0</v>
      </c>
      <c r="G3">
        <v>0.96699999999999997</v>
      </c>
      <c r="H3" t="s">
        <v>1</v>
      </c>
      <c r="I3">
        <v>6881.4543421953558</v>
      </c>
      <c r="J3" t="s">
        <v>2</v>
      </c>
      <c r="K3">
        <v>418.52950336271903</v>
      </c>
      <c r="L3" t="s">
        <v>3</v>
      </c>
      <c r="M3">
        <v>23268.401874998352</v>
      </c>
      <c r="O3">
        <f t="shared" ref="O3:O7" si="0">D3/1000</f>
        <v>20</v>
      </c>
      <c r="T3">
        <v>948</v>
      </c>
      <c r="U3">
        <f t="shared" ref="U3:U7" si="1">T3/1000</f>
        <v>0.94799999999999995</v>
      </c>
    </row>
    <row r="4" spans="1:21" x14ac:dyDescent="0.3">
      <c r="A4">
        <v>1</v>
      </c>
      <c r="B4">
        <v>5</v>
      </c>
      <c r="C4">
        <v>3</v>
      </c>
      <c r="D4">
        <v>30000</v>
      </c>
      <c r="E4">
        <v>1000</v>
      </c>
      <c r="F4" t="s">
        <v>0</v>
      </c>
      <c r="G4">
        <v>0.97</v>
      </c>
      <c r="H4" t="s">
        <v>1</v>
      </c>
      <c r="I4">
        <v>5780.0526471245321</v>
      </c>
      <c r="J4" t="s">
        <v>2</v>
      </c>
      <c r="K4">
        <v>402.87907738785731</v>
      </c>
      <c r="L4" t="s">
        <v>3</v>
      </c>
      <c r="M4">
        <v>21732.349125525448</v>
      </c>
      <c r="O4">
        <f t="shared" si="0"/>
        <v>30</v>
      </c>
      <c r="T4">
        <v>955</v>
      </c>
      <c r="U4">
        <f t="shared" si="1"/>
        <v>0.95499999999999996</v>
      </c>
    </row>
    <row r="5" spans="1:21" x14ac:dyDescent="0.3">
      <c r="A5">
        <v>1</v>
      </c>
      <c r="B5">
        <v>5</v>
      </c>
      <c r="C5">
        <v>3</v>
      </c>
      <c r="D5">
        <v>40000</v>
      </c>
      <c r="E5">
        <v>1000</v>
      </c>
      <c r="F5" t="s">
        <v>0</v>
      </c>
      <c r="G5">
        <v>0.98599999999999999</v>
      </c>
      <c r="H5" t="s">
        <v>1</v>
      </c>
      <c r="I5">
        <v>5792.9292153384376</v>
      </c>
      <c r="J5" t="s">
        <v>2</v>
      </c>
      <c r="K5">
        <v>862.83593815658242</v>
      </c>
      <c r="L5" t="s">
        <v>3</v>
      </c>
      <c r="M5">
        <v>21185.416493543369</v>
      </c>
      <c r="O5">
        <f t="shared" si="0"/>
        <v>40</v>
      </c>
      <c r="T5">
        <v>965</v>
      </c>
      <c r="U5">
        <f t="shared" si="1"/>
        <v>0.96499999999999997</v>
      </c>
    </row>
    <row r="6" spans="1:21" x14ac:dyDescent="0.3">
      <c r="A6">
        <v>1</v>
      </c>
      <c r="B6">
        <v>5</v>
      </c>
      <c r="C6">
        <v>3</v>
      </c>
      <c r="D6">
        <v>50000</v>
      </c>
      <c r="E6">
        <v>1000</v>
      </c>
      <c r="F6" t="s">
        <v>0</v>
      </c>
      <c r="G6">
        <v>0.99299999999999999</v>
      </c>
      <c r="H6" t="s">
        <v>1</v>
      </c>
      <c r="I6">
        <v>6105.0548064783197</v>
      </c>
      <c r="J6" t="s">
        <v>2</v>
      </c>
      <c r="K6">
        <v>915.67072846589144</v>
      </c>
      <c r="L6" t="s">
        <v>3</v>
      </c>
      <c r="M6">
        <v>30750.040371114621</v>
      </c>
      <c r="O6">
        <f t="shared" si="0"/>
        <v>50</v>
      </c>
      <c r="T6">
        <v>986</v>
      </c>
      <c r="U6">
        <f t="shared" si="1"/>
        <v>0.98599999999999999</v>
      </c>
    </row>
    <row r="7" spans="1:21" x14ac:dyDescent="0.3">
      <c r="A7">
        <v>1</v>
      </c>
      <c r="B7">
        <v>5</v>
      </c>
      <c r="C7">
        <v>3</v>
      </c>
      <c r="D7">
        <v>60000</v>
      </c>
      <c r="E7">
        <v>1000</v>
      </c>
      <c r="F7" t="s">
        <v>0</v>
      </c>
      <c r="G7">
        <v>0.995</v>
      </c>
      <c r="H7" t="s">
        <v>1</v>
      </c>
      <c r="I7">
        <v>4468.9598326136129</v>
      </c>
      <c r="J7" t="s">
        <v>2</v>
      </c>
      <c r="K7">
        <v>483.45873185992241</v>
      </c>
      <c r="L7" t="s">
        <v>3</v>
      </c>
      <c r="M7">
        <v>24689.458720670082</v>
      </c>
      <c r="O7">
        <f t="shared" si="0"/>
        <v>60</v>
      </c>
      <c r="T7">
        <v>991</v>
      </c>
      <c r="U7">
        <f t="shared" si="1"/>
        <v>0.99099999999999999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Nalith Udugampola</cp:lastModifiedBy>
  <dcterms:created xsi:type="dcterms:W3CDTF">2026-07-22T08:46:21Z</dcterms:created>
  <dcterms:modified xsi:type="dcterms:W3CDTF">2026-08-08T11:39:54Z</dcterms:modified>
</cp:coreProperties>
</file>
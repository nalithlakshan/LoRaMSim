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440292_ad_unsw_edu_au/Documents/MyPhD-Workspace/Codes/LoRaMeshSimulator-V3/Tests/"/>
    </mc:Choice>
  </mc:AlternateContent>
  <xr:revisionPtr revIDLastSave="19" documentId="11_88EB4FA7F68B713C734A140AD809050F1343FD00" xr6:coauthVersionLast="47" xr6:coauthVersionMax="47" xr10:uidLastSave="{6BE005D5-404D-4FEC-BA60-29999876DE5A}"/>
  <bookViews>
    <workbookView xWindow="-108" yWindow="-108" windowWidth="23256" windowHeight="12456" xr2:uid="{00000000-000D-0000-FFFF-FFFF00000000}"/>
  </bookViews>
  <sheets>
    <sheet name="Sheet1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6" i="1" l="1"/>
  <c r="AG25" i="1"/>
  <c r="AG24" i="1"/>
  <c r="AG23" i="1"/>
  <c r="AG22" i="1"/>
  <c r="AG21" i="1"/>
  <c r="AG20" i="1"/>
  <c r="AG16" i="1"/>
  <c r="AG15" i="1"/>
  <c r="AG14" i="1"/>
  <c r="AG13" i="1"/>
  <c r="AG12" i="1"/>
  <c r="AG11" i="1"/>
  <c r="AG10" i="1"/>
  <c r="AG8" i="1"/>
  <c r="AG7" i="1"/>
  <c r="AG6" i="1"/>
  <c r="AG5" i="1"/>
  <c r="AG4" i="1"/>
  <c r="AG3" i="1"/>
  <c r="AG2" i="1"/>
</calcChain>
</file>

<file path=xl/sharedStrings.xml><?xml version="1.0" encoding="utf-8"?>
<sst xmlns="http://schemas.openxmlformats.org/spreadsheetml/2006/main" count="535" uniqueCount="19">
  <si>
    <t>with sleep mode</t>
  </si>
  <si>
    <t>Avg Pwr by an arbitary RP per hour (mAh)</t>
  </si>
  <si>
    <t>Networ PIR (per hour)</t>
  </si>
  <si>
    <t>---&gt; DER:</t>
  </si>
  <si>
    <t>---&gt; Avg Latency:</t>
  </si>
  <si>
    <t>---&gt; Min Latency:</t>
  </si>
  <si>
    <t>---&gt; Max Latency:</t>
  </si>
  <si>
    <t>---&gt; Total Power:</t>
  </si>
  <si>
    <t xml:space="preserve"> TX:</t>
  </si>
  <si>
    <t xml:space="preserve"> RX:</t>
  </si>
  <si>
    <t xml:space="preserve"> CAD:</t>
  </si>
  <si>
    <t>---&gt; Avg Power by RP per hour:</t>
  </si>
  <si>
    <t>TX:</t>
  </si>
  <si>
    <t>RX:</t>
  </si>
  <si>
    <t>CAD:</t>
  </si>
  <si>
    <t>without sleep mode</t>
  </si>
  <si>
    <t>###################</t>
  </si>
  <si>
    <t>with sleep mode - w/o sync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</si>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</sst>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E89CE"/>
      <color rgb="FFE66914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3575204845392"/>
          <c:y val="4.5547688951995603E-2"/>
          <c:w val="0.73211444660297798"/>
          <c:h val="0.78030103207737567"/>
        </c:manualLayout>
      </c:layout>
      <c:lineChart>
        <c:grouping val="standard"/>
        <c:varyColors val="0"/>
        <c:ser>
          <c:idx val="0"/>
          <c:order val="0"/>
          <c:tx>
            <c:v>with sleep mode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Sheet1!$AG$2:$AG$8</c:f>
              <c:numCache>
                <c:formatCode>0.00</c:formatCode>
                <c:ptCount val="7"/>
                <c:pt idx="0">
                  <c:v>0.70833333333333337</c:v>
                </c:pt>
                <c:pt idx="1">
                  <c:v>1.4166666666666667</c:v>
                </c:pt>
                <c:pt idx="2">
                  <c:v>2.8333333333333335</c:v>
                </c:pt>
                <c:pt idx="3">
                  <c:v>5.666666666666667</c:v>
                </c:pt>
                <c:pt idx="4" formatCode="General">
                  <c:v>17</c:v>
                </c:pt>
                <c:pt idx="5" formatCode="General">
                  <c:v>34</c:v>
                </c:pt>
                <c:pt idx="6" formatCode="General">
                  <c:v>102</c:v>
                </c:pt>
              </c:numCache>
            </c:numRef>
          </c:cat>
          <c:val>
            <c:numRef>
              <c:f>Sheet1!$X$2:$X$8</c:f>
              <c:numCache>
                <c:formatCode>General</c:formatCode>
                <c:ptCount val="7"/>
                <c:pt idx="0">
                  <c:v>2.2281316009388041E-2</c:v>
                </c:pt>
                <c:pt idx="1">
                  <c:v>2.6867033718468051E-2</c:v>
                </c:pt>
                <c:pt idx="2">
                  <c:v>3.8077359154637877E-2</c:v>
                </c:pt>
                <c:pt idx="3">
                  <c:v>5.9780470832497677E-2</c:v>
                </c:pt>
                <c:pt idx="4">
                  <c:v>0.17289327659562509</c:v>
                </c:pt>
                <c:pt idx="5">
                  <c:v>0.32398987188198453</c:v>
                </c:pt>
                <c:pt idx="6">
                  <c:v>0.83039944910561592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95-4717-9B7D-4E603D3A6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810751"/>
        <c:axId val="1570811231"/>
      </c:lineChart>
      <c:lineChart>
        <c:grouping val="standard"/>
        <c:varyColors val="0"/>
        <c:ser>
          <c:idx val="1"/>
          <c:order val="1"/>
          <c:tx>
            <c:v>without sleep mode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triang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multiLvlStrRef>
              <c:f>(Sheet1!$AG$10:$AG$16,Sheet1!#REF!)</c:f>
            </c:multiLvlStrRef>
          </c:cat>
          <c:val>
            <c:numRef>
              <c:f>Sheet1!$X$10:$X$16</c:f>
              <c:numCache>
                <c:formatCode>General</c:formatCode>
                <c:ptCount val="7"/>
                <c:pt idx="0">
                  <c:v>13.562706692476439</c:v>
                </c:pt>
                <c:pt idx="1">
                  <c:v>13.58172066553848</c:v>
                </c:pt>
                <c:pt idx="2">
                  <c:v>13.86073945495365</c:v>
                </c:pt>
                <c:pt idx="3">
                  <c:v>13.92250861967292</c:v>
                </c:pt>
                <c:pt idx="4">
                  <c:v>13.924694683487679</c:v>
                </c:pt>
                <c:pt idx="5">
                  <c:v>13.928716656420359</c:v>
                </c:pt>
                <c:pt idx="6">
                  <c:v>13.97474619678326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95-4717-9B7D-4E603D3A6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892976"/>
        <c:axId val="361895856"/>
      </c:lineChart>
      <c:catAx>
        <c:axId val="1570810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>
                    <a:solidFill>
                      <a:schemeClr val="tx1"/>
                    </a:solidFill>
                  </a:rPr>
                  <a:t>Network's</a:t>
                </a:r>
                <a:r>
                  <a:rPr lang="en-US" sz="900" baseline="0">
                    <a:solidFill>
                      <a:schemeClr val="tx1"/>
                    </a:solidFill>
                  </a:rPr>
                  <a:t> Packet Input Rate</a:t>
                </a:r>
                <a:r>
                  <a:rPr lang="en-US" sz="900">
                    <a:solidFill>
                      <a:schemeClr val="tx1"/>
                    </a:solidFill>
                  </a:rPr>
                  <a:t> (per hour)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811231"/>
        <c:crosses val="autoZero"/>
        <c:auto val="1"/>
        <c:lblAlgn val="ctr"/>
        <c:lblOffset val="100"/>
        <c:noMultiLvlLbl val="0"/>
      </c:catAx>
      <c:valAx>
        <c:axId val="1570811231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rgbClr val="3E89CE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>
                    <a:solidFill>
                      <a:srgbClr val="3E89CE"/>
                    </a:solidFill>
                  </a:rPr>
                  <a:t>Avg. Power Usage by a Repeater per hr (mAh)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ln>
                  <a:noFill/>
                </a:ln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810751"/>
        <c:crosses val="autoZero"/>
        <c:crossBetween val="between"/>
      </c:valAx>
      <c:catAx>
        <c:axId val="36189297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361895856"/>
        <c:crosses val="autoZero"/>
        <c:auto val="1"/>
        <c:lblAlgn val="ctr"/>
        <c:lblOffset val="100"/>
        <c:noMultiLvlLbl val="0"/>
      </c:catAx>
      <c:valAx>
        <c:axId val="361895856"/>
        <c:scaling>
          <c:orientation val="minMax"/>
          <c:max val="14"/>
          <c:min val="1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E6691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strike="noStrike" kern="1200" baseline="0">
                    <a:solidFill>
                      <a:srgbClr val="E66914"/>
                    </a:solidFill>
                  </a:rPr>
                  <a:t>Avg. Power Usage by a Repeater per hr (mAh)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accent2"/>
                </a:solidFill>
                <a:effectLst>
                  <a:glow>
                    <a:schemeClr val="accent1">
                      <a:alpha val="40000"/>
                    </a:schemeClr>
                  </a:glow>
                  <a:outerShdw dist="38100" sx="1000" sy="1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892976"/>
        <c:crosses val="max"/>
        <c:crossBetween val="between"/>
        <c:majorUnit val="0.5"/>
        <c:minorUnit val="0.1"/>
      </c:valAx>
    </c:plotArea>
    <c:legend>
      <c:legendPos val="b"/>
      <c:layout>
        <c:manualLayout>
          <c:xMode val="edge"/>
          <c:yMode val="edge"/>
          <c:x val="0.1184350355165278"/>
          <c:y val="0.47311888024983711"/>
          <c:w val="0.38341424087349801"/>
          <c:h val="0.1416931231208478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387570</xdr:colOff>
      <xdr:row>4</xdr:row>
      <xdr:rowOff>169742</xdr:rowOff>
    </xdr:from>
    <xdr:to>
      <xdr:col>44</xdr:col>
      <xdr:colOff>117418</xdr:colOff>
      <xdr:row>15</xdr:row>
      <xdr:rowOff>169742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1"/>
  <sheetViews>
    <sheetView tabSelected="1" topLeftCell="AI3" zoomScale="160" zoomScaleNormal="160" workbookViewId="0">
      <selection activeCell="AJ15" sqref="AJ15"/>
    </sheetView>
  </sheetViews>
  <sheetFormatPr defaultRowHeight="14.4" x14ac:dyDescent="0.3"/>
  <cols>
    <col min="1" max="1" width="20.109375" customWidth="1"/>
    <col min="2" max="5" width="13.77734375" customWidth="1"/>
    <col min="6" max="6" width="8.109375" customWidth="1"/>
    <col min="7" max="7" width="16.109375" customWidth="1"/>
    <col min="8" max="8" width="15.109375" customWidth="1"/>
    <col min="9" max="9" width="16.88671875" customWidth="1"/>
    <col min="10" max="11" width="13.77734375" customWidth="1"/>
    <col min="12" max="12" width="15.88671875" customWidth="1"/>
    <col min="13" max="13" width="13.77734375" customWidth="1"/>
    <col min="14" max="14" width="16.44140625" customWidth="1"/>
    <col min="15" max="15" width="24.6640625" customWidth="1"/>
    <col min="16" max="16" width="10.109375" bestFit="1" customWidth="1"/>
    <col min="18" max="18" width="9" bestFit="1" customWidth="1"/>
    <col min="20" max="20" width="9" bestFit="1" customWidth="1"/>
    <col min="22" max="22" width="9" bestFit="1" customWidth="1"/>
    <col min="23" max="23" width="32.109375" customWidth="1"/>
    <col min="24" max="24" width="39.5546875" customWidth="1"/>
    <col min="26" max="26" width="13.33203125" bestFit="1" customWidth="1"/>
    <col min="33" max="33" width="21" customWidth="1"/>
  </cols>
  <sheetData>
    <row r="1" spans="1:33" x14ac:dyDescent="0.3">
      <c r="A1" t="s">
        <v>0</v>
      </c>
      <c r="X1" t="s">
        <v>1</v>
      </c>
      <c r="AG1" t="s">
        <v>2</v>
      </c>
    </row>
    <row r="2" spans="1:33" x14ac:dyDescent="0.3">
      <c r="A2">
        <v>1</v>
      </c>
      <c r="B2">
        <v>17</v>
      </c>
      <c r="C2">
        <v>3</v>
      </c>
      <c r="D2">
        <v>86400000</v>
      </c>
      <c r="E2">
        <v>1466.963740581215</v>
      </c>
      <c r="F2">
        <v>1000</v>
      </c>
      <c r="G2" t="s">
        <v>3</v>
      </c>
      <c r="H2">
        <v>0.94499999999999995</v>
      </c>
      <c r="I2" t="s">
        <v>4</v>
      </c>
      <c r="J2">
        <v>3650.168855890945</v>
      </c>
      <c r="K2" t="s">
        <v>5</v>
      </c>
      <c r="L2">
        <v>1037.9199690818789</v>
      </c>
      <c r="M2" t="s">
        <v>6</v>
      </c>
      <c r="N2">
        <v>24425.480237901211</v>
      </c>
      <c r="O2" t="s">
        <v>7</v>
      </c>
      <c r="P2">
        <v>555.66000552946775</v>
      </c>
      <c r="Q2" t="s">
        <v>8</v>
      </c>
      <c r="R2">
        <v>78.721264351700128</v>
      </c>
      <c r="S2" t="s">
        <v>9</v>
      </c>
      <c r="T2">
        <v>124.8874608151374</v>
      </c>
      <c r="U2" t="s">
        <v>10</v>
      </c>
      <c r="V2">
        <v>352.05128036263397</v>
      </c>
      <c r="W2" t="s">
        <v>11</v>
      </c>
      <c r="X2">
        <v>2.2281316009388041E-2</v>
      </c>
      <c r="Y2" t="s">
        <v>12</v>
      </c>
      <c r="Z2">
        <v>3.1566305838540061E-3</v>
      </c>
      <c r="AA2" t="s">
        <v>13</v>
      </c>
      <c r="AB2">
        <v>5.0078410400990654E-3</v>
      </c>
      <c r="AC2" t="s">
        <v>14</v>
      </c>
      <c r="AD2">
        <v>1.411684438543512E-2</v>
      </c>
      <c r="AG2" s="1">
        <f t="shared" ref="AG2:AG8" si="0">B2/D2*3600000</f>
        <v>0.70833333333333337</v>
      </c>
    </row>
    <row r="3" spans="1:33" x14ac:dyDescent="0.3">
      <c r="A3">
        <v>1</v>
      </c>
      <c r="B3">
        <v>17</v>
      </c>
      <c r="C3">
        <v>3</v>
      </c>
      <c r="D3">
        <v>43200000</v>
      </c>
      <c r="E3">
        <v>768.94559146132804</v>
      </c>
      <c r="F3">
        <v>1000</v>
      </c>
      <c r="G3" t="s">
        <v>3</v>
      </c>
      <c r="H3">
        <v>1</v>
      </c>
      <c r="I3" t="s">
        <v>4</v>
      </c>
      <c r="J3">
        <v>3416.9916807510849</v>
      </c>
      <c r="K3" t="s">
        <v>5</v>
      </c>
      <c r="L3">
        <v>1045.3688080310819</v>
      </c>
      <c r="M3" t="s">
        <v>6</v>
      </c>
      <c r="N3">
        <v>7573.5786850452423</v>
      </c>
      <c r="O3" t="s">
        <v>7</v>
      </c>
      <c r="P3">
        <v>351.20788126880058</v>
      </c>
      <c r="Q3" t="s">
        <v>8</v>
      </c>
      <c r="R3">
        <v>66.572567112879383</v>
      </c>
      <c r="S3" t="s">
        <v>9</v>
      </c>
      <c r="T3">
        <v>105.8272717346285</v>
      </c>
      <c r="U3" t="s">
        <v>10</v>
      </c>
      <c r="V3">
        <v>178.8080424212946</v>
      </c>
      <c r="W3" t="s">
        <v>11</v>
      </c>
      <c r="X3">
        <v>2.6867033718468051E-2</v>
      </c>
      <c r="Y3" t="s">
        <v>12</v>
      </c>
      <c r="Z3">
        <v>5.09273140137131E-3</v>
      </c>
      <c r="AA3" t="s">
        <v>13</v>
      </c>
      <c r="AB3">
        <v>8.0956750393981671E-3</v>
      </c>
      <c r="AC3" t="s">
        <v>14</v>
      </c>
      <c r="AD3">
        <v>1.367862727769872E-2</v>
      </c>
      <c r="AG3" s="1">
        <f t="shared" si="0"/>
        <v>1.4166666666666667</v>
      </c>
    </row>
    <row r="4" spans="1:33" x14ac:dyDescent="0.3">
      <c r="A4">
        <v>1</v>
      </c>
      <c r="B4">
        <v>17</v>
      </c>
      <c r="C4">
        <v>3</v>
      </c>
      <c r="D4">
        <v>21600000</v>
      </c>
      <c r="E4">
        <v>380.91192730066763</v>
      </c>
      <c r="F4">
        <v>1000</v>
      </c>
      <c r="G4" t="s">
        <v>3</v>
      </c>
      <c r="H4">
        <v>0.999</v>
      </c>
      <c r="I4" t="s">
        <v>4</v>
      </c>
      <c r="J4">
        <v>2961.3634110094558</v>
      </c>
      <c r="K4" t="s">
        <v>5</v>
      </c>
      <c r="L4">
        <v>1034.364130496979</v>
      </c>
      <c r="M4" t="s">
        <v>6</v>
      </c>
      <c r="N4">
        <v>12452.715960145</v>
      </c>
      <c r="O4" t="s">
        <v>7</v>
      </c>
      <c r="P4">
        <v>246.57004445591821</v>
      </c>
      <c r="Q4" t="s">
        <v>8</v>
      </c>
      <c r="R4">
        <v>57.913537245052552</v>
      </c>
      <c r="S4" t="s">
        <v>9</v>
      </c>
      <c r="T4">
        <v>100.3191781738704</v>
      </c>
      <c r="U4" t="s">
        <v>10</v>
      </c>
      <c r="V4">
        <v>88.337329037003329</v>
      </c>
      <c r="W4" t="s">
        <v>11</v>
      </c>
      <c r="X4">
        <v>3.8077359154637877E-2</v>
      </c>
      <c r="Y4" t="s">
        <v>12</v>
      </c>
      <c r="Z4">
        <v>8.9434812021117523E-3</v>
      </c>
      <c r="AA4" t="s">
        <v>13</v>
      </c>
      <c r="AB4">
        <v>1.549210645540316E-2</v>
      </c>
      <c r="AC4" t="s">
        <v>14</v>
      </c>
      <c r="AD4">
        <v>1.3641771497124221E-2</v>
      </c>
      <c r="AG4" s="1">
        <f t="shared" si="0"/>
        <v>2.8333333333333335</v>
      </c>
    </row>
    <row r="5" spans="1:33" x14ac:dyDescent="0.3">
      <c r="A5">
        <v>1</v>
      </c>
      <c r="B5">
        <v>17</v>
      </c>
      <c r="C5">
        <v>3</v>
      </c>
      <c r="D5">
        <v>10800000</v>
      </c>
      <c r="E5">
        <v>180.84584926346611</v>
      </c>
      <c r="F5">
        <v>1000</v>
      </c>
      <c r="G5" t="s">
        <v>3</v>
      </c>
      <c r="H5">
        <v>0.99299999999999999</v>
      </c>
      <c r="I5" t="s">
        <v>4</v>
      </c>
      <c r="J5">
        <v>2865.1417959726268</v>
      </c>
      <c r="K5" t="s">
        <v>5</v>
      </c>
      <c r="L5">
        <v>1056.6964275026689</v>
      </c>
      <c r="M5" t="s">
        <v>6</v>
      </c>
      <c r="N5">
        <v>12143.831960558889</v>
      </c>
      <c r="O5" t="s">
        <v>7</v>
      </c>
      <c r="P5">
        <v>183.7878502902395</v>
      </c>
      <c r="Q5" t="s">
        <v>8</v>
      </c>
      <c r="R5">
        <v>40.90938915501507</v>
      </c>
      <c r="S5" t="s">
        <v>9</v>
      </c>
      <c r="T5">
        <v>99.643804081743497</v>
      </c>
      <c r="U5" t="s">
        <v>10</v>
      </c>
      <c r="V5">
        <v>43.23465705349151</v>
      </c>
      <c r="W5" t="s">
        <v>11</v>
      </c>
      <c r="X5">
        <v>5.9780470832497677E-2</v>
      </c>
      <c r="Y5" t="s">
        <v>12</v>
      </c>
      <c r="Z5">
        <v>1.3306551773115519E-2</v>
      </c>
      <c r="AA5" t="s">
        <v>13</v>
      </c>
      <c r="AB5">
        <v>3.2411029968198772E-2</v>
      </c>
      <c r="AC5" t="s">
        <v>14</v>
      </c>
      <c r="AD5">
        <v>1.406288909118684E-2</v>
      </c>
      <c r="AG5" s="1">
        <f t="shared" si="0"/>
        <v>5.666666666666667</v>
      </c>
    </row>
    <row r="6" spans="1:33" x14ac:dyDescent="0.3">
      <c r="A6">
        <v>1</v>
      </c>
      <c r="B6">
        <v>17</v>
      </c>
      <c r="C6">
        <v>3</v>
      </c>
      <c r="D6">
        <v>3600000</v>
      </c>
      <c r="E6">
        <v>58.992473405486237</v>
      </c>
      <c r="F6">
        <v>1000</v>
      </c>
      <c r="G6" t="s">
        <v>3</v>
      </c>
      <c r="H6">
        <v>0.98199999999999998</v>
      </c>
      <c r="I6" t="s">
        <v>4</v>
      </c>
      <c r="J6">
        <v>3817.3650233216831</v>
      </c>
      <c r="K6" t="s">
        <v>5</v>
      </c>
      <c r="L6">
        <v>1308.754658598453</v>
      </c>
      <c r="M6" t="s">
        <v>6</v>
      </c>
      <c r="N6">
        <v>14056.87047503889</v>
      </c>
      <c r="O6" t="s">
        <v>7</v>
      </c>
      <c r="P6">
        <v>173.38983436643139</v>
      </c>
      <c r="Q6" t="s">
        <v>8</v>
      </c>
      <c r="R6">
        <v>24.079868266493381</v>
      </c>
      <c r="S6" t="s">
        <v>9</v>
      </c>
      <c r="T6">
        <v>135.00499816559261</v>
      </c>
      <c r="U6" t="s">
        <v>10</v>
      </c>
      <c r="V6">
        <v>14.3049679343597</v>
      </c>
      <c r="W6" t="s">
        <v>11</v>
      </c>
      <c r="X6">
        <v>0.17289327659562509</v>
      </c>
      <c r="Y6" t="s">
        <v>12</v>
      </c>
      <c r="Z6">
        <v>2.4010907789361529E-2</v>
      </c>
      <c r="AA6" t="s">
        <v>13</v>
      </c>
      <c r="AB6">
        <v>0.13461836776605521</v>
      </c>
      <c r="AC6" t="s">
        <v>14</v>
      </c>
      <c r="AD6">
        <v>1.4264001040222581E-2</v>
      </c>
      <c r="AG6">
        <f t="shared" si="0"/>
        <v>17</v>
      </c>
    </row>
    <row r="7" spans="1:33" x14ac:dyDescent="0.3">
      <c r="A7">
        <v>1</v>
      </c>
      <c r="B7">
        <v>17</v>
      </c>
      <c r="C7">
        <v>3</v>
      </c>
      <c r="D7">
        <v>1800000</v>
      </c>
      <c r="E7">
        <v>30.292453242714071</v>
      </c>
      <c r="F7">
        <v>1000</v>
      </c>
      <c r="G7" t="s">
        <v>3</v>
      </c>
      <c r="H7">
        <v>0.96899999999999997</v>
      </c>
      <c r="I7" t="s">
        <v>4</v>
      </c>
      <c r="J7">
        <v>3792.0924654983701</v>
      </c>
      <c r="K7" t="s">
        <v>5</v>
      </c>
      <c r="L7">
        <v>1403.377595096827</v>
      </c>
      <c r="M7" t="s">
        <v>6</v>
      </c>
      <c r="N7">
        <v>14795.08796347305</v>
      </c>
      <c r="O7" t="s">
        <v>7</v>
      </c>
      <c r="P7">
        <v>166.8456167666649</v>
      </c>
      <c r="Q7" t="s">
        <v>8</v>
      </c>
      <c r="R7">
        <v>16.80697137780442</v>
      </c>
      <c r="S7" t="s">
        <v>9</v>
      </c>
      <c r="T7">
        <v>142.79490991897691</v>
      </c>
      <c r="U7" t="s">
        <v>10</v>
      </c>
      <c r="V7">
        <v>7.2437354698958751</v>
      </c>
      <c r="W7" t="s">
        <v>11</v>
      </c>
      <c r="X7">
        <v>0.32398987188198453</v>
      </c>
      <c r="Y7" t="s">
        <v>12</v>
      </c>
      <c r="Z7">
        <v>3.263668898796615E-2</v>
      </c>
      <c r="AA7" t="s">
        <v>13</v>
      </c>
      <c r="AB7">
        <v>0.27728690430477171</v>
      </c>
      <c r="AC7" t="s">
        <v>14</v>
      </c>
      <c r="AD7">
        <v>1.4066278589270389E-2</v>
      </c>
      <c r="AG7">
        <f t="shared" si="0"/>
        <v>34</v>
      </c>
    </row>
    <row r="8" spans="1:33" x14ac:dyDescent="0.3">
      <c r="A8">
        <v>1</v>
      </c>
      <c r="B8">
        <v>17</v>
      </c>
      <c r="C8">
        <v>3</v>
      </c>
      <c r="D8">
        <v>600000</v>
      </c>
      <c r="E8">
        <v>11.03545215983816</v>
      </c>
      <c r="F8">
        <v>1000</v>
      </c>
      <c r="G8" t="s">
        <v>3</v>
      </c>
      <c r="H8">
        <v>0.94799999999999995</v>
      </c>
      <c r="I8" t="s">
        <v>4</v>
      </c>
      <c r="J8">
        <v>4248.6490181299132</v>
      </c>
      <c r="K8" t="s">
        <v>5</v>
      </c>
      <c r="L8">
        <v>54.109859611839063</v>
      </c>
      <c r="M8" t="s">
        <v>6</v>
      </c>
      <c r="N8">
        <v>20051.041585328639</v>
      </c>
      <c r="O8" t="s">
        <v>7</v>
      </c>
      <c r="P8">
        <v>155.78516770073679</v>
      </c>
      <c r="Q8" t="s">
        <v>8</v>
      </c>
      <c r="R8">
        <v>9.1857255111207579</v>
      </c>
      <c r="S8" t="s">
        <v>9</v>
      </c>
      <c r="T8">
        <v>144.13845295250621</v>
      </c>
      <c r="U8" t="s">
        <v>10</v>
      </c>
      <c r="V8">
        <v>2.4609892371201538</v>
      </c>
      <c r="W8" t="s">
        <v>11</v>
      </c>
      <c r="X8">
        <v>0.83039944910561592</v>
      </c>
      <c r="Y8" t="s">
        <v>12</v>
      </c>
      <c r="Z8">
        <v>4.8963720466142953E-2</v>
      </c>
      <c r="AA8" t="s">
        <v>13</v>
      </c>
      <c r="AB8">
        <v>0.76831763699498068</v>
      </c>
      <c r="AC8" t="s">
        <v>14</v>
      </c>
      <c r="AD8">
        <v>1.311809164454724E-2</v>
      </c>
      <c r="AG8">
        <f t="shared" si="0"/>
        <v>102</v>
      </c>
    </row>
    <row r="9" spans="1:33" x14ac:dyDescent="0.3">
      <c r="A9" t="s">
        <v>15</v>
      </c>
    </row>
    <row r="10" spans="1:33" x14ac:dyDescent="0.3">
      <c r="A10">
        <v>1</v>
      </c>
      <c r="B10">
        <v>17</v>
      </c>
      <c r="C10">
        <v>3</v>
      </c>
      <c r="D10">
        <v>86400000</v>
      </c>
      <c r="E10">
        <v>1586.2757984248631</v>
      </c>
      <c r="F10">
        <v>1000</v>
      </c>
      <c r="G10" t="s">
        <v>3</v>
      </c>
      <c r="H10">
        <v>0.88600000000000001</v>
      </c>
      <c r="I10" t="s">
        <v>4</v>
      </c>
      <c r="J10">
        <v>99.810135513982416</v>
      </c>
      <c r="K10" t="s">
        <v>5</v>
      </c>
      <c r="L10">
        <v>32.490334510803223</v>
      </c>
      <c r="M10" t="s">
        <v>6</v>
      </c>
      <c r="N10">
        <v>269.19582176208502</v>
      </c>
      <c r="O10" t="s">
        <v>7</v>
      </c>
      <c r="P10">
        <v>366254.03147607867</v>
      </c>
      <c r="Q10" t="s">
        <v>8</v>
      </c>
      <c r="R10">
        <v>1.510467194827473</v>
      </c>
      <c r="S10" t="s">
        <v>9</v>
      </c>
      <c r="T10">
        <v>365954.79013113969</v>
      </c>
      <c r="U10" t="s">
        <v>10</v>
      </c>
      <c r="V10">
        <v>0</v>
      </c>
      <c r="W10" t="s">
        <v>11</v>
      </c>
      <c r="X10">
        <v>13.562706692476439</v>
      </c>
      <c r="Y10" t="s">
        <v>12</v>
      </c>
      <c r="Z10">
        <v>5.601233502311938E-5</v>
      </c>
      <c r="AA10" t="s">
        <v>13</v>
      </c>
      <c r="AB10">
        <v>13.57062396213248</v>
      </c>
      <c r="AC10" t="s">
        <v>14</v>
      </c>
      <c r="AD10">
        <v>0</v>
      </c>
      <c r="AG10" s="1">
        <f t="shared" ref="AG10:AG16" si="1">B10/D10*3600000</f>
        <v>0.70833333333333337</v>
      </c>
    </row>
    <row r="11" spans="1:33" x14ac:dyDescent="0.3">
      <c r="A11">
        <v>1</v>
      </c>
      <c r="B11">
        <v>17</v>
      </c>
      <c r="C11">
        <v>3</v>
      </c>
      <c r="D11">
        <v>43200000</v>
      </c>
      <c r="E11">
        <v>731.18115288456454</v>
      </c>
      <c r="F11">
        <v>1000</v>
      </c>
      <c r="G11" t="s">
        <v>3</v>
      </c>
      <c r="H11">
        <v>0.93799999999999994</v>
      </c>
      <c r="I11" t="s">
        <v>4</v>
      </c>
      <c r="J11">
        <v>100.0203045866788</v>
      </c>
      <c r="K11" t="s">
        <v>5</v>
      </c>
      <c r="L11">
        <v>32.420029163360603</v>
      </c>
      <c r="M11" t="s">
        <v>6</v>
      </c>
      <c r="N11">
        <v>429.80480551719671</v>
      </c>
      <c r="O11" t="s">
        <v>7</v>
      </c>
      <c r="P11">
        <v>173707.20760236381</v>
      </c>
      <c r="Q11" t="s">
        <v>8</v>
      </c>
      <c r="R11">
        <v>1.434018668410501</v>
      </c>
      <c r="S11" t="s">
        <v>9</v>
      </c>
      <c r="T11">
        <v>173606.28985915889</v>
      </c>
      <c r="U11" t="s">
        <v>10</v>
      </c>
      <c r="V11">
        <v>0</v>
      </c>
      <c r="W11" t="s">
        <v>11</v>
      </c>
      <c r="X11">
        <v>13.58172066553848</v>
      </c>
      <c r="Y11" t="s">
        <v>12</v>
      </c>
      <c r="Z11">
        <v>1.153668129785372E-4</v>
      </c>
      <c r="AA11" t="s">
        <v>13</v>
      </c>
      <c r="AB11">
        <v>13.966627363560921</v>
      </c>
      <c r="AC11" t="s">
        <v>14</v>
      </c>
      <c r="AD11">
        <v>0</v>
      </c>
      <c r="AG11" s="1">
        <f t="shared" si="1"/>
        <v>1.4166666666666667</v>
      </c>
    </row>
    <row r="12" spans="1:33" x14ac:dyDescent="0.3">
      <c r="A12">
        <v>1</v>
      </c>
      <c r="B12">
        <v>17</v>
      </c>
      <c r="C12">
        <v>3</v>
      </c>
      <c r="D12">
        <v>21600000</v>
      </c>
      <c r="E12">
        <v>361.92738460313939</v>
      </c>
      <c r="F12">
        <v>1000</v>
      </c>
      <c r="G12" t="s">
        <v>3</v>
      </c>
      <c r="H12">
        <v>0.90400000000000003</v>
      </c>
      <c r="I12" t="s">
        <v>4</v>
      </c>
      <c r="J12">
        <v>101.90140188437761</v>
      </c>
      <c r="K12" t="s">
        <v>5</v>
      </c>
      <c r="L12">
        <v>32.719591617584229</v>
      </c>
      <c r="M12" t="s">
        <v>6</v>
      </c>
      <c r="N12">
        <v>415.15239197015762</v>
      </c>
      <c r="O12" t="s">
        <v>7</v>
      </c>
      <c r="P12">
        <v>88074.381950344192</v>
      </c>
      <c r="Q12" t="s">
        <v>8</v>
      </c>
      <c r="R12">
        <v>1.42476693396807</v>
      </c>
      <c r="S12" t="s">
        <v>9</v>
      </c>
      <c r="T12">
        <v>88039.1683628709</v>
      </c>
      <c r="U12" t="s">
        <v>10</v>
      </c>
      <c r="V12">
        <v>0</v>
      </c>
      <c r="W12" t="s">
        <v>11</v>
      </c>
      <c r="X12">
        <v>13.86073945495365</v>
      </c>
      <c r="Y12" t="s">
        <v>12</v>
      </c>
      <c r="Z12">
        <v>2.3156528964250579E-4</v>
      </c>
      <c r="AA12" t="s">
        <v>13</v>
      </c>
      <c r="AB12">
        <v>14.30887749833926</v>
      </c>
      <c r="AC12" t="s">
        <v>14</v>
      </c>
      <c r="AD12">
        <v>0</v>
      </c>
      <c r="AG12" s="1">
        <f t="shared" si="1"/>
        <v>2.8333333333333335</v>
      </c>
    </row>
    <row r="13" spans="1:33" x14ac:dyDescent="0.3">
      <c r="A13">
        <v>1</v>
      </c>
      <c r="B13">
        <v>17</v>
      </c>
      <c r="C13">
        <v>3</v>
      </c>
      <c r="D13">
        <v>10800000</v>
      </c>
      <c r="E13">
        <v>185.45555426783031</v>
      </c>
      <c r="F13">
        <v>1000</v>
      </c>
      <c r="G13" t="s">
        <v>3</v>
      </c>
      <c r="H13">
        <v>0.97</v>
      </c>
      <c r="I13" t="s">
        <v>4</v>
      </c>
      <c r="J13">
        <v>97.624941563262894</v>
      </c>
      <c r="K13" t="s">
        <v>5</v>
      </c>
      <c r="L13">
        <v>31.945942759513851</v>
      </c>
      <c r="M13" t="s">
        <v>6</v>
      </c>
      <c r="N13">
        <v>322.43773829936981</v>
      </c>
      <c r="O13" t="s">
        <v>7</v>
      </c>
      <c r="P13">
        <v>45080.007191254554</v>
      </c>
      <c r="Q13" t="s">
        <v>8</v>
      </c>
      <c r="R13">
        <v>1.478329599263648</v>
      </c>
      <c r="S13" t="s">
        <v>9</v>
      </c>
      <c r="T13">
        <v>45050.769138263502</v>
      </c>
      <c r="U13" t="s">
        <v>10</v>
      </c>
      <c r="V13">
        <v>0</v>
      </c>
      <c r="W13" t="s">
        <v>11</v>
      </c>
      <c r="X13">
        <v>13.92250861967292</v>
      </c>
      <c r="Y13" t="s">
        <v>12</v>
      </c>
      <c r="Z13">
        <v>4.6890245485439188E-4</v>
      </c>
      <c r="AA13" t="s">
        <v>13</v>
      </c>
      <c r="AB13">
        <v>14.289381916273779</v>
      </c>
      <c r="AC13" t="s">
        <v>14</v>
      </c>
      <c r="AD13">
        <v>0</v>
      </c>
      <c r="AG13" s="1">
        <f t="shared" si="1"/>
        <v>5.666666666666667</v>
      </c>
    </row>
    <row r="14" spans="1:33" x14ac:dyDescent="0.3">
      <c r="A14">
        <v>1</v>
      </c>
      <c r="B14">
        <v>17</v>
      </c>
      <c r="C14">
        <v>3</v>
      </c>
      <c r="D14">
        <v>3600000</v>
      </c>
      <c r="E14">
        <v>63.463442157844291</v>
      </c>
      <c r="F14">
        <v>1000</v>
      </c>
      <c r="G14" t="s">
        <v>3</v>
      </c>
      <c r="H14">
        <v>1</v>
      </c>
      <c r="I14" t="s">
        <v>4</v>
      </c>
      <c r="J14">
        <v>92.997319429014055</v>
      </c>
      <c r="K14" t="s">
        <v>5</v>
      </c>
      <c r="L14">
        <v>32.567409351468093</v>
      </c>
      <c r="M14" t="s">
        <v>6</v>
      </c>
      <c r="N14">
        <v>237.54116299748421</v>
      </c>
      <c r="O14" t="s">
        <v>7</v>
      </c>
      <c r="P14">
        <v>15023.05394538976</v>
      </c>
      <c r="Q14" t="s">
        <v>8</v>
      </c>
      <c r="R14">
        <v>1.481251199750385</v>
      </c>
      <c r="S14" t="s">
        <v>9</v>
      </c>
      <c r="T14">
        <v>15013.225799616361</v>
      </c>
      <c r="U14" t="s">
        <v>10</v>
      </c>
      <c r="V14">
        <v>0</v>
      </c>
      <c r="W14" t="s">
        <v>11</v>
      </c>
      <c r="X14">
        <v>13.924694683487679</v>
      </c>
      <c r="Y14" t="s">
        <v>12</v>
      </c>
      <c r="Z14">
        <v>1.372954579079015E-3</v>
      </c>
      <c r="AA14" t="s">
        <v>13</v>
      </c>
      <c r="AB14">
        <v>13.91558508901395</v>
      </c>
      <c r="AC14" t="s">
        <v>14</v>
      </c>
      <c r="AD14">
        <v>0</v>
      </c>
      <c r="AG14">
        <f t="shared" si="1"/>
        <v>17</v>
      </c>
    </row>
    <row r="15" spans="1:33" x14ac:dyDescent="0.3">
      <c r="A15">
        <v>1</v>
      </c>
      <c r="B15">
        <v>17</v>
      </c>
      <c r="C15">
        <v>3</v>
      </c>
      <c r="D15">
        <v>1800000</v>
      </c>
      <c r="E15">
        <v>31.917813771530049</v>
      </c>
      <c r="F15">
        <v>1000</v>
      </c>
      <c r="G15" t="s">
        <v>3</v>
      </c>
      <c r="H15">
        <v>1</v>
      </c>
      <c r="I15" t="s">
        <v>4</v>
      </c>
      <c r="J15">
        <v>94.573290088125617</v>
      </c>
      <c r="K15" t="s">
        <v>5</v>
      </c>
      <c r="L15">
        <v>32.742401937022812</v>
      </c>
      <c r="M15" t="s">
        <v>6</v>
      </c>
      <c r="N15">
        <v>251.54702060669661</v>
      </c>
      <c r="O15" t="s">
        <v>7</v>
      </c>
      <c r="P15">
        <v>7557.7611333725754</v>
      </c>
      <c r="Q15" t="s">
        <v>8</v>
      </c>
      <c r="R15">
        <v>1.518745066748497</v>
      </c>
      <c r="S15" t="s">
        <v>9</v>
      </c>
      <c r="T15">
        <v>7552.4199173863772</v>
      </c>
      <c r="U15" t="s">
        <v>10</v>
      </c>
      <c r="V15">
        <v>0</v>
      </c>
      <c r="W15" t="s">
        <v>11</v>
      </c>
      <c r="X15">
        <v>13.928716656420359</v>
      </c>
      <c r="Y15" t="s">
        <v>12</v>
      </c>
      <c r="Z15">
        <v>2.7989995098768382E-3</v>
      </c>
      <c r="AA15" t="s">
        <v>13</v>
      </c>
      <c r="AB15">
        <v>13.91887296292971</v>
      </c>
      <c r="AC15" t="s">
        <v>14</v>
      </c>
      <c r="AD15">
        <v>0</v>
      </c>
      <c r="AG15">
        <f t="shared" si="1"/>
        <v>34</v>
      </c>
    </row>
    <row r="16" spans="1:33" x14ac:dyDescent="0.3">
      <c r="A16">
        <v>1</v>
      </c>
      <c r="B16">
        <v>17</v>
      </c>
      <c r="C16">
        <v>3</v>
      </c>
      <c r="D16">
        <v>600000</v>
      </c>
      <c r="E16">
        <v>10.644966527948499</v>
      </c>
      <c r="F16">
        <v>1000</v>
      </c>
      <c r="G16" t="s">
        <v>3</v>
      </c>
      <c r="H16">
        <v>1</v>
      </c>
      <c r="I16" t="s">
        <v>4</v>
      </c>
      <c r="J16">
        <v>93.866201405864885</v>
      </c>
      <c r="K16" t="s">
        <v>5</v>
      </c>
      <c r="L16">
        <v>32.008706040680408</v>
      </c>
      <c r="M16" t="s">
        <v>6</v>
      </c>
      <c r="N16">
        <v>398.18711680173868</v>
      </c>
      <c r="O16" t="s">
        <v>7</v>
      </c>
      <c r="P16">
        <v>2508.3008283601439</v>
      </c>
      <c r="Q16" t="s">
        <v>8</v>
      </c>
      <c r="R16">
        <v>1.591298133360191</v>
      </c>
      <c r="S16" t="s">
        <v>9</v>
      </c>
      <c r="T16">
        <v>2504.3560905556792</v>
      </c>
      <c r="U16" t="s">
        <v>10</v>
      </c>
      <c r="V16">
        <v>0</v>
      </c>
      <c r="W16" t="s">
        <v>11</v>
      </c>
      <c r="X16">
        <v>13.97474619678326</v>
      </c>
      <c r="Y16" t="s">
        <v>12</v>
      </c>
      <c r="Z16">
        <v>8.7934304259986388E-3</v>
      </c>
      <c r="AA16" t="s">
        <v>13</v>
      </c>
      <c r="AB16">
        <v>13.83894103974459</v>
      </c>
      <c r="AC16" t="s">
        <v>14</v>
      </c>
      <c r="AD16">
        <v>0</v>
      </c>
      <c r="AG16">
        <f t="shared" si="1"/>
        <v>102</v>
      </c>
    </row>
    <row r="18" spans="1:33" x14ac:dyDescent="0.3">
      <c r="A18" t="s">
        <v>16</v>
      </c>
    </row>
    <row r="19" spans="1:33" x14ac:dyDescent="0.3">
      <c r="A19" t="s">
        <v>17</v>
      </c>
    </row>
    <row r="20" spans="1:33" x14ac:dyDescent="0.3">
      <c r="A20">
        <v>1</v>
      </c>
      <c r="B20">
        <v>17</v>
      </c>
      <c r="C20">
        <v>3</v>
      </c>
      <c r="D20">
        <v>86400000</v>
      </c>
      <c r="E20">
        <v>1488.112388391206</v>
      </c>
      <c r="F20">
        <v>1000</v>
      </c>
      <c r="G20" t="s">
        <v>3</v>
      </c>
      <c r="H20">
        <v>1</v>
      </c>
      <c r="I20" t="s">
        <v>4</v>
      </c>
      <c r="J20">
        <v>3523.5087313444128</v>
      </c>
      <c r="K20" t="s">
        <v>5</v>
      </c>
      <c r="L20">
        <v>1044.178340911865</v>
      </c>
      <c r="M20" t="s">
        <v>6</v>
      </c>
      <c r="N20">
        <v>7678.9240711927414</v>
      </c>
      <c r="O20" t="s">
        <v>7</v>
      </c>
      <c r="P20">
        <v>530.45802433480094</v>
      </c>
      <c r="Q20" t="s">
        <v>8</v>
      </c>
      <c r="R20">
        <v>71.857491196635451</v>
      </c>
      <c r="S20" t="s">
        <v>9</v>
      </c>
      <c r="T20">
        <v>108.321470663057</v>
      </c>
      <c r="U20" t="s">
        <v>10</v>
      </c>
      <c r="V20">
        <v>350.27906247511282</v>
      </c>
      <c r="W20" t="s">
        <v>11</v>
      </c>
      <c r="X20">
        <v>2.096845200643661E-2</v>
      </c>
      <c r="Y20" t="s">
        <v>12</v>
      </c>
      <c r="Z20">
        <v>2.8404516216887421E-3</v>
      </c>
      <c r="AA20" t="s">
        <v>13</v>
      </c>
      <c r="AB20">
        <v>4.2818346686586814E-3</v>
      </c>
      <c r="AC20" t="s">
        <v>14</v>
      </c>
      <c r="AD20">
        <v>1.384616571608935E-2</v>
      </c>
      <c r="AG20" s="1">
        <f t="shared" ref="AG20:AG26" si="2">B20/D20*3600000</f>
        <v>0.70833333333333337</v>
      </c>
    </row>
    <row r="21" spans="1:33" x14ac:dyDescent="0.3">
      <c r="A21">
        <v>1</v>
      </c>
      <c r="B21">
        <v>17</v>
      </c>
      <c r="C21">
        <v>3</v>
      </c>
      <c r="D21">
        <v>43200000</v>
      </c>
      <c r="E21">
        <v>771.1505233586696</v>
      </c>
      <c r="F21">
        <v>1000</v>
      </c>
      <c r="G21" t="s">
        <v>3</v>
      </c>
      <c r="H21">
        <v>0.999</v>
      </c>
      <c r="I21" t="s">
        <v>4</v>
      </c>
      <c r="J21">
        <v>3507.5081275373209</v>
      </c>
      <c r="K21" t="s">
        <v>5</v>
      </c>
      <c r="L21">
        <v>1048.842834174633</v>
      </c>
      <c r="M21" t="s">
        <v>6</v>
      </c>
      <c r="N21">
        <v>10740.65527045727</v>
      </c>
      <c r="O21" t="s">
        <v>7</v>
      </c>
      <c r="P21">
        <v>360.39605532326323</v>
      </c>
      <c r="Q21" t="s">
        <v>8</v>
      </c>
      <c r="R21">
        <v>71.575502045977615</v>
      </c>
      <c r="S21" t="s">
        <v>9</v>
      </c>
      <c r="T21">
        <v>108.95265544372479</v>
      </c>
      <c r="U21" t="s">
        <v>10</v>
      </c>
      <c r="V21">
        <v>179.867897833564</v>
      </c>
      <c r="W21" t="s">
        <v>11</v>
      </c>
      <c r="X21">
        <v>2.749108937624585E-2</v>
      </c>
      <c r="Y21" t="s">
        <v>12</v>
      </c>
      <c r="Z21">
        <v>5.459794841901607E-3</v>
      </c>
      <c r="AA21" t="s">
        <v>13</v>
      </c>
      <c r="AB21">
        <v>8.3109322212090789E-3</v>
      </c>
      <c r="AC21" t="s">
        <v>14</v>
      </c>
      <c r="AD21">
        <v>1.372036231313541E-2</v>
      </c>
      <c r="AG21" s="1">
        <f t="shared" si="2"/>
        <v>1.4166666666666667</v>
      </c>
    </row>
    <row r="22" spans="1:33" x14ac:dyDescent="0.3">
      <c r="A22">
        <v>1</v>
      </c>
      <c r="B22">
        <v>17</v>
      </c>
      <c r="C22">
        <v>3</v>
      </c>
      <c r="D22">
        <v>21600000</v>
      </c>
      <c r="E22">
        <v>370.57994616079418</v>
      </c>
      <c r="F22">
        <v>1000</v>
      </c>
      <c r="G22" t="s">
        <v>3</v>
      </c>
      <c r="H22">
        <v>0.999</v>
      </c>
      <c r="I22" t="s">
        <v>4</v>
      </c>
      <c r="J22">
        <v>3571.739302319671</v>
      </c>
      <c r="K22" t="s">
        <v>5</v>
      </c>
      <c r="L22">
        <v>1044.022932946682</v>
      </c>
      <c r="M22" t="s">
        <v>6</v>
      </c>
      <c r="N22">
        <v>7233.2323330640793</v>
      </c>
      <c r="O22" t="s">
        <v>7</v>
      </c>
      <c r="P22">
        <v>270.55860264769012</v>
      </c>
      <c r="Q22" t="s">
        <v>8</v>
      </c>
      <c r="R22">
        <v>71.072558578828392</v>
      </c>
      <c r="S22" t="s">
        <v>9</v>
      </c>
      <c r="T22">
        <v>108.3167654907547</v>
      </c>
      <c r="U22" t="s">
        <v>10</v>
      </c>
      <c r="V22">
        <v>91.169278578115922</v>
      </c>
      <c r="W22" t="s">
        <v>11</v>
      </c>
      <c r="X22">
        <v>4.2946770556080677E-2</v>
      </c>
      <c r="Y22" t="s">
        <v>12</v>
      </c>
      <c r="Z22">
        <v>1.1281610846036081E-2</v>
      </c>
      <c r="AA22" t="s">
        <v>13</v>
      </c>
      <c r="AB22">
        <v>1.719352195563225E-2</v>
      </c>
      <c r="AC22" t="s">
        <v>14</v>
      </c>
      <c r="AD22">
        <v>1.447163775441377E-2</v>
      </c>
      <c r="AG22" s="1">
        <f t="shared" si="2"/>
        <v>2.8333333333333335</v>
      </c>
    </row>
    <row r="23" spans="1:33" x14ac:dyDescent="0.3">
      <c r="A23">
        <v>1</v>
      </c>
      <c r="B23">
        <v>17</v>
      </c>
      <c r="C23">
        <v>3</v>
      </c>
      <c r="D23">
        <v>10800000</v>
      </c>
      <c r="E23">
        <v>186.35658340898141</v>
      </c>
      <c r="F23">
        <v>1000</v>
      </c>
      <c r="G23" t="s">
        <v>3</v>
      </c>
      <c r="H23">
        <v>0.96499999999999997</v>
      </c>
      <c r="I23" t="s">
        <v>4</v>
      </c>
      <c r="J23">
        <v>3767.864535116335</v>
      </c>
      <c r="K23" t="s">
        <v>5</v>
      </c>
      <c r="L23">
        <v>1045.5969960391519</v>
      </c>
      <c r="M23" t="s">
        <v>6</v>
      </c>
      <c r="N23">
        <v>23770.076031327251</v>
      </c>
      <c r="O23" t="s">
        <v>7</v>
      </c>
      <c r="P23">
        <v>243.00935733425439</v>
      </c>
      <c r="Q23" t="s">
        <v>8</v>
      </c>
      <c r="R23">
        <v>78.23467324391676</v>
      </c>
      <c r="S23" t="s">
        <v>9</v>
      </c>
      <c r="T23">
        <v>121.41561434452051</v>
      </c>
      <c r="U23" t="s">
        <v>10</v>
      </c>
      <c r="V23">
        <v>43.359069745827007</v>
      </c>
      <c r="W23" t="s">
        <v>11</v>
      </c>
      <c r="X23">
        <v>7.6705999954475565E-2</v>
      </c>
      <c r="Y23" t="s">
        <v>12</v>
      </c>
      <c r="Z23">
        <v>2.469480561619667E-2</v>
      </c>
      <c r="AA23" t="s">
        <v>13</v>
      </c>
      <c r="AB23">
        <v>3.8324886788508122E-2</v>
      </c>
      <c r="AC23" t="s">
        <v>14</v>
      </c>
      <c r="AD23">
        <v>1.36863075497739E-2</v>
      </c>
      <c r="AG23" s="1">
        <f t="shared" si="2"/>
        <v>5.666666666666667</v>
      </c>
    </row>
    <row r="24" spans="1:33" x14ac:dyDescent="0.3">
      <c r="A24">
        <v>1</v>
      </c>
      <c r="B24">
        <v>17</v>
      </c>
      <c r="C24">
        <v>3</v>
      </c>
      <c r="D24">
        <v>3600000</v>
      </c>
      <c r="E24">
        <v>61.714978015096008</v>
      </c>
      <c r="F24">
        <v>1000</v>
      </c>
      <c r="G24" t="s">
        <v>3</v>
      </c>
      <c r="H24">
        <v>0.99099999999999999</v>
      </c>
      <c r="I24" t="s">
        <v>4</v>
      </c>
      <c r="J24">
        <v>3581.0800209936401</v>
      </c>
      <c r="K24" t="s">
        <v>5</v>
      </c>
      <c r="L24">
        <v>1040.694142132998</v>
      </c>
      <c r="M24" t="s">
        <v>6</v>
      </c>
      <c r="N24">
        <v>10040.333582699301</v>
      </c>
      <c r="O24" t="s">
        <v>7</v>
      </c>
      <c r="P24">
        <v>194.3044398649821</v>
      </c>
      <c r="Q24" t="s">
        <v>8</v>
      </c>
      <c r="R24">
        <v>70.498507878906935</v>
      </c>
      <c r="S24" t="s">
        <v>9</v>
      </c>
      <c r="T24">
        <v>108.8113238167419</v>
      </c>
      <c r="U24" t="s">
        <v>10</v>
      </c>
      <c r="V24">
        <v>14.99460816934516</v>
      </c>
      <c r="W24" t="s">
        <v>11</v>
      </c>
      <c r="X24">
        <v>0.18520095608619419</v>
      </c>
      <c r="Y24" t="s">
        <v>12</v>
      </c>
      <c r="Z24">
        <v>6.7195536401001774E-2</v>
      </c>
      <c r="AA24" t="s">
        <v>13</v>
      </c>
      <c r="AB24">
        <v>0.1037133336627214</v>
      </c>
      <c r="AC24" t="s">
        <v>14</v>
      </c>
      <c r="AD24">
        <v>1.42920860224824E-2</v>
      </c>
      <c r="AG24">
        <f t="shared" si="2"/>
        <v>17</v>
      </c>
    </row>
    <row r="25" spans="1:33" x14ac:dyDescent="0.3">
      <c r="A25">
        <v>1</v>
      </c>
      <c r="B25">
        <v>17</v>
      </c>
      <c r="C25">
        <v>3</v>
      </c>
      <c r="D25">
        <v>1800000</v>
      </c>
      <c r="E25">
        <v>32.834765519831059</v>
      </c>
      <c r="F25">
        <v>1000</v>
      </c>
      <c r="G25" t="s">
        <v>3</v>
      </c>
      <c r="H25">
        <v>0.98</v>
      </c>
      <c r="I25" t="s">
        <v>4</v>
      </c>
      <c r="J25">
        <v>3465.9446043530579</v>
      </c>
      <c r="K25" t="s">
        <v>5</v>
      </c>
      <c r="L25">
        <v>1047.30970723927</v>
      </c>
      <c r="M25" t="s">
        <v>6</v>
      </c>
      <c r="N25">
        <v>14550.729861631989</v>
      </c>
      <c r="O25" t="s">
        <v>7</v>
      </c>
      <c r="P25">
        <v>181.62920025248641</v>
      </c>
      <c r="Q25" t="s">
        <v>8</v>
      </c>
      <c r="R25">
        <v>69.032942956753558</v>
      </c>
      <c r="S25" t="s">
        <v>9</v>
      </c>
      <c r="T25">
        <v>104.6255512800885</v>
      </c>
      <c r="U25" t="s">
        <v>10</v>
      </c>
      <c r="V25">
        <v>7.9707060156551464</v>
      </c>
      <c r="W25" t="s">
        <v>11</v>
      </c>
      <c r="X25">
        <v>0.3253889721440108</v>
      </c>
      <c r="Y25" t="s">
        <v>12</v>
      </c>
      <c r="Z25">
        <v>0.1236726160856763</v>
      </c>
      <c r="AA25" t="s">
        <v>13</v>
      </c>
      <c r="AB25">
        <v>0.18743682482609211</v>
      </c>
      <c r="AC25" t="s">
        <v>14</v>
      </c>
      <c r="AD25">
        <v>1.42795312322618E-2</v>
      </c>
      <c r="AG25">
        <f t="shared" si="2"/>
        <v>34</v>
      </c>
    </row>
    <row r="26" spans="1:33" x14ac:dyDescent="0.3">
      <c r="A26">
        <v>1</v>
      </c>
      <c r="B26">
        <v>17</v>
      </c>
      <c r="C26">
        <v>3</v>
      </c>
      <c r="D26">
        <v>600000</v>
      </c>
      <c r="E26">
        <v>9.8433686873621262</v>
      </c>
      <c r="F26">
        <v>1000</v>
      </c>
      <c r="G26" t="s">
        <v>3</v>
      </c>
      <c r="H26">
        <v>0.92</v>
      </c>
      <c r="I26" t="s">
        <v>4</v>
      </c>
      <c r="J26">
        <v>4549.8917071029637</v>
      </c>
      <c r="K26" t="s">
        <v>5</v>
      </c>
      <c r="L26">
        <v>1047.31093780417</v>
      </c>
      <c r="M26" t="s">
        <v>6</v>
      </c>
      <c r="N26">
        <v>25593.046323847841</v>
      </c>
      <c r="O26" t="s">
        <v>7</v>
      </c>
      <c r="P26">
        <v>210.40592938151269</v>
      </c>
      <c r="Q26" t="s">
        <v>8</v>
      </c>
      <c r="R26">
        <v>80.138541547629927</v>
      </c>
      <c r="S26" t="s">
        <v>9</v>
      </c>
      <c r="T26">
        <v>127.9834032501351</v>
      </c>
      <c r="U26" t="s">
        <v>10</v>
      </c>
      <c r="V26">
        <v>2.2839845837588939</v>
      </c>
      <c r="W26" t="s">
        <v>11</v>
      </c>
      <c r="X26">
        <v>1.257376388966682</v>
      </c>
      <c r="Y26" t="s">
        <v>12</v>
      </c>
      <c r="Z26">
        <v>0.47890432690947249</v>
      </c>
      <c r="AA26" t="s">
        <v>13</v>
      </c>
      <c r="AB26">
        <v>0.76482307271166228</v>
      </c>
      <c r="AC26" t="s">
        <v>14</v>
      </c>
      <c r="AD26">
        <v>1.3648989345614241E-2</v>
      </c>
      <c r="AG26">
        <f t="shared" si="2"/>
        <v>102</v>
      </c>
    </row>
    <row r="28" spans="1:33" x14ac:dyDescent="0.3">
      <c r="A28" t="s">
        <v>18</v>
      </c>
    </row>
    <row r="29" spans="1:33" x14ac:dyDescent="0.3">
      <c r="A29">
        <v>1</v>
      </c>
      <c r="B29">
        <v>17</v>
      </c>
      <c r="C29">
        <v>3</v>
      </c>
      <c r="D29">
        <v>60000</v>
      </c>
      <c r="E29">
        <v>0.16586816802669491</v>
      </c>
      <c r="F29">
        <v>100</v>
      </c>
      <c r="G29" t="s">
        <v>3</v>
      </c>
      <c r="H29">
        <v>0.47</v>
      </c>
      <c r="I29" t="s">
        <v>4</v>
      </c>
      <c r="J29">
        <v>11805.94597207948</v>
      </c>
      <c r="K29" t="s">
        <v>5</v>
      </c>
      <c r="L29">
        <v>2022.951204642362</v>
      </c>
      <c r="M29" t="s">
        <v>6</v>
      </c>
      <c r="N29">
        <v>34889.679504350468</v>
      </c>
      <c r="O29" t="s">
        <v>7</v>
      </c>
      <c r="P29">
        <v>21.90915953152162</v>
      </c>
      <c r="Q29" t="s">
        <v>8</v>
      </c>
      <c r="R29">
        <v>8.2647311999999467</v>
      </c>
      <c r="S29" t="s">
        <v>9</v>
      </c>
      <c r="T29">
        <v>13.628868759502179</v>
      </c>
      <c r="U29" t="s">
        <v>10</v>
      </c>
      <c r="V29">
        <v>1.555957201925953E-2</v>
      </c>
      <c r="W29" t="s">
        <v>11</v>
      </c>
      <c r="X29">
        <v>7.7698699239391837</v>
      </c>
      <c r="Y29" t="s">
        <v>12</v>
      </c>
      <c r="Z29">
        <v>2.9310063805930708</v>
      </c>
      <c r="AA29" t="s">
        <v>13</v>
      </c>
      <c r="AB29">
        <v>4.8333454927568269</v>
      </c>
      <c r="AC29" t="s">
        <v>14</v>
      </c>
      <c r="AD29">
        <v>5.5180505892009398E-3</v>
      </c>
    </row>
    <row r="30" spans="1:33" x14ac:dyDescent="0.3">
      <c r="A30">
        <v>1</v>
      </c>
      <c r="B30">
        <v>17</v>
      </c>
      <c r="C30">
        <v>3</v>
      </c>
      <c r="D30">
        <v>60000</v>
      </c>
      <c r="E30">
        <v>0.1581004851325106</v>
      </c>
      <c r="F30">
        <v>100</v>
      </c>
      <c r="G30" t="s">
        <v>3</v>
      </c>
      <c r="H30">
        <v>0.63</v>
      </c>
      <c r="I30" t="s">
        <v>4</v>
      </c>
      <c r="J30">
        <v>4749.0054908487573</v>
      </c>
      <c r="K30" t="s">
        <v>5</v>
      </c>
      <c r="L30">
        <v>1517.1842072486179</v>
      </c>
      <c r="M30" t="s">
        <v>6</v>
      </c>
      <c r="N30">
        <v>14715.40356757605</v>
      </c>
      <c r="O30" t="s">
        <v>7</v>
      </c>
      <c r="P30">
        <v>10.61661577675248</v>
      </c>
      <c r="Q30" t="s">
        <v>8</v>
      </c>
      <c r="R30">
        <v>1.332413866666627</v>
      </c>
      <c r="S30" t="s">
        <v>9</v>
      </c>
      <c r="T30">
        <v>9.2667621041939938</v>
      </c>
      <c r="U30" t="s">
        <v>10</v>
      </c>
      <c r="V30">
        <v>1.7439805891548449E-2</v>
      </c>
      <c r="W30" t="s">
        <v>11</v>
      </c>
      <c r="X30">
        <v>3.950062581236101</v>
      </c>
      <c r="Y30" t="s">
        <v>12</v>
      </c>
      <c r="Z30">
        <v>0.49574349002671442</v>
      </c>
      <c r="AA30" t="s">
        <v>13</v>
      </c>
      <c r="AB30">
        <v>3.447830363904373</v>
      </c>
      <c r="AC30" t="s">
        <v>14</v>
      </c>
      <c r="AD30">
        <v>6.4887273048981602E-3</v>
      </c>
    </row>
    <row r="31" spans="1:33" x14ac:dyDescent="0.3">
      <c r="A31">
        <v>1</v>
      </c>
      <c r="B31">
        <v>17</v>
      </c>
      <c r="C31">
        <v>3</v>
      </c>
      <c r="D31">
        <v>600000</v>
      </c>
      <c r="E31">
        <v>10.19071094129621</v>
      </c>
      <c r="F31">
        <v>1000</v>
      </c>
      <c r="G31" t="s">
        <v>3</v>
      </c>
      <c r="H31">
        <v>0.93</v>
      </c>
      <c r="I31" t="s">
        <v>4</v>
      </c>
      <c r="J31">
        <v>4398.4976129317156</v>
      </c>
      <c r="K31" t="s">
        <v>5</v>
      </c>
      <c r="L31">
        <v>1488.741098700091</v>
      </c>
      <c r="M31" t="s">
        <v>6</v>
      </c>
      <c r="N31">
        <v>19966.261883605272</v>
      </c>
      <c r="O31" t="s">
        <v>7</v>
      </c>
      <c r="P31">
        <v>157.04296325531911</v>
      </c>
      <c r="Q31" t="s">
        <v>8</v>
      </c>
      <c r="R31">
        <v>8.5735290666981072</v>
      </c>
      <c r="S31" t="s">
        <v>9</v>
      </c>
      <c r="T31">
        <v>146.2184334373004</v>
      </c>
      <c r="U31" t="s">
        <v>10</v>
      </c>
      <c r="V31">
        <v>2.2510007513314418</v>
      </c>
      <c r="W31" t="s">
        <v>11</v>
      </c>
      <c r="X31">
        <v>0.90649429869756826</v>
      </c>
      <c r="Y31" t="s">
        <v>12</v>
      </c>
      <c r="Z31">
        <v>4.9488719886444731E-2</v>
      </c>
      <c r="AA31" t="s">
        <v>13</v>
      </c>
      <c r="AB31">
        <v>0.84401219594863519</v>
      </c>
      <c r="AC31" t="s">
        <v>14</v>
      </c>
      <c r="AD31">
        <v>1.2993382862551041E-2</v>
      </c>
    </row>
    <row r="32" spans="1:33" x14ac:dyDescent="0.3">
      <c r="A32">
        <v>1</v>
      </c>
      <c r="B32">
        <v>17</v>
      </c>
      <c r="C32">
        <v>3</v>
      </c>
      <c r="D32">
        <v>600000</v>
      </c>
      <c r="E32">
        <v>1.4618298225895059</v>
      </c>
      <c r="F32">
        <v>100</v>
      </c>
      <c r="G32" t="s">
        <v>3</v>
      </c>
      <c r="H32">
        <v>0.93</v>
      </c>
      <c r="I32" t="s">
        <v>4</v>
      </c>
      <c r="J32">
        <v>4102.2270381406261</v>
      </c>
      <c r="K32" t="s">
        <v>5</v>
      </c>
      <c r="L32">
        <v>1496.2500042663889</v>
      </c>
      <c r="M32" t="s">
        <v>6</v>
      </c>
      <c r="N32">
        <v>14073.766549618909</v>
      </c>
      <c r="O32" t="s">
        <v>7</v>
      </c>
      <c r="P32">
        <v>15.442834798112029</v>
      </c>
      <c r="Q32" t="s">
        <v>8</v>
      </c>
      <c r="R32">
        <v>1.5794846222228249</v>
      </c>
      <c r="S32" t="s">
        <v>9</v>
      </c>
      <c r="T32">
        <v>13.62823930612576</v>
      </c>
      <c r="U32" t="s">
        <v>10</v>
      </c>
      <c r="V32">
        <v>0.2351108697639881</v>
      </c>
      <c r="W32" t="s">
        <v>11</v>
      </c>
      <c r="X32">
        <v>0.62141436226729208</v>
      </c>
      <c r="Y32" t="s">
        <v>12</v>
      </c>
      <c r="Z32">
        <v>6.3557918093482865E-2</v>
      </c>
      <c r="AA32" t="s">
        <v>13</v>
      </c>
      <c r="AB32">
        <v>0.54839566361724834</v>
      </c>
      <c r="AC32" t="s">
        <v>14</v>
      </c>
      <c r="AD32">
        <v>9.4607805565826986E-3</v>
      </c>
    </row>
    <row r="33" spans="1:30" x14ac:dyDescent="0.3">
      <c r="A33">
        <v>1</v>
      </c>
      <c r="B33">
        <v>17</v>
      </c>
      <c r="C33">
        <v>3</v>
      </c>
      <c r="D33">
        <v>3600000</v>
      </c>
      <c r="E33">
        <v>7.4084210027275148</v>
      </c>
      <c r="F33">
        <v>100</v>
      </c>
      <c r="G33" t="s">
        <v>3</v>
      </c>
      <c r="H33">
        <v>0.97</v>
      </c>
      <c r="I33" t="s">
        <v>4</v>
      </c>
      <c r="J33">
        <v>3642.178025738825</v>
      </c>
      <c r="K33" t="s">
        <v>5</v>
      </c>
      <c r="L33">
        <v>1074.1356293889689</v>
      </c>
      <c r="M33" t="s">
        <v>6</v>
      </c>
      <c r="N33">
        <v>13021.78307651915</v>
      </c>
      <c r="O33" t="s">
        <v>7</v>
      </c>
      <c r="P33">
        <v>17.942898602997719</v>
      </c>
      <c r="Q33" t="s">
        <v>8</v>
      </c>
      <c r="R33">
        <v>2.6348353777803348</v>
      </c>
      <c r="S33" t="s">
        <v>9</v>
      </c>
      <c r="T33">
        <v>14.08268432082876</v>
      </c>
      <c r="U33" t="s">
        <v>10</v>
      </c>
      <c r="V33">
        <v>1.225378904389788</v>
      </c>
      <c r="W33" t="s">
        <v>11</v>
      </c>
      <c r="X33">
        <v>0.14246822950763241</v>
      </c>
      <c r="Y33" t="s">
        <v>12</v>
      </c>
      <c r="Z33">
        <v>2.0920829996426749E-2</v>
      </c>
      <c r="AA33" t="s">
        <v>13</v>
      </c>
      <c r="AB33">
        <v>0.1118177807440862</v>
      </c>
      <c r="AC33" t="s">
        <v>14</v>
      </c>
      <c r="AD33">
        <v>9.7296187671287917E-3</v>
      </c>
    </row>
    <row r="34" spans="1:30" x14ac:dyDescent="0.3">
      <c r="A34">
        <v>1</v>
      </c>
      <c r="B34">
        <v>17</v>
      </c>
      <c r="C34">
        <v>3</v>
      </c>
      <c r="D34">
        <v>3600000</v>
      </c>
      <c r="E34">
        <v>8.4794432874351049</v>
      </c>
      <c r="F34">
        <v>100</v>
      </c>
      <c r="G34" t="s">
        <v>3</v>
      </c>
      <c r="H34">
        <v>0.89</v>
      </c>
      <c r="I34" t="s">
        <v>4</v>
      </c>
      <c r="J34">
        <v>3498.0526291701608</v>
      </c>
      <c r="K34" t="s">
        <v>5</v>
      </c>
      <c r="L34">
        <v>1039.4565861942251</v>
      </c>
      <c r="M34" t="s">
        <v>6</v>
      </c>
      <c r="N34">
        <v>12125.3319012057</v>
      </c>
      <c r="O34" t="s">
        <v>7</v>
      </c>
      <c r="P34">
        <v>23.496403323945469</v>
      </c>
      <c r="Q34" t="s">
        <v>8</v>
      </c>
      <c r="R34">
        <v>8.1778380444472454</v>
      </c>
      <c r="S34" t="s">
        <v>9</v>
      </c>
      <c r="T34">
        <v>13.82145854974585</v>
      </c>
      <c r="U34" t="s">
        <v>10</v>
      </c>
      <c r="V34">
        <v>1.497106729753541</v>
      </c>
      <c r="W34" t="s">
        <v>11</v>
      </c>
      <c r="X34">
        <v>0.16299907023906379</v>
      </c>
      <c r="Y34" t="s">
        <v>12</v>
      </c>
      <c r="Z34">
        <v>5.6731235816508477E-2</v>
      </c>
      <c r="AA34" t="s">
        <v>13</v>
      </c>
      <c r="AB34">
        <v>9.5882117015772803E-2</v>
      </c>
      <c r="AC34" t="s">
        <v>14</v>
      </c>
      <c r="AD34">
        <v>1.038571740679058E-2</v>
      </c>
    </row>
    <row r="35" spans="1:30" x14ac:dyDescent="0.3">
      <c r="A35">
        <v>1</v>
      </c>
      <c r="B35">
        <v>17</v>
      </c>
      <c r="C35">
        <v>3</v>
      </c>
      <c r="D35">
        <v>3600000</v>
      </c>
      <c r="E35">
        <v>61.92338197534589</v>
      </c>
      <c r="F35">
        <v>1000</v>
      </c>
      <c r="G35" t="s">
        <v>3</v>
      </c>
      <c r="H35">
        <v>0.99199999999999999</v>
      </c>
      <c r="I35" t="s">
        <v>4</v>
      </c>
      <c r="J35">
        <v>3345.0950466406689</v>
      </c>
      <c r="K35" t="s">
        <v>5</v>
      </c>
      <c r="L35">
        <v>1033.9179924428461</v>
      </c>
      <c r="M35" t="s">
        <v>6</v>
      </c>
      <c r="N35">
        <v>10783.27192070335</v>
      </c>
      <c r="O35" t="s">
        <v>7</v>
      </c>
      <c r="P35">
        <v>190.22847486488709</v>
      </c>
      <c r="Q35" t="s">
        <v>8</v>
      </c>
      <c r="R35">
        <v>70.600278346687872</v>
      </c>
      <c r="S35" t="s">
        <v>9</v>
      </c>
      <c r="T35">
        <v>104.9219843483471</v>
      </c>
      <c r="U35" t="s">
        <v>10</v>
      </c>
      <c r="V35">
        <v>14.70621216986479</v>
      </c>
      <c r="W35" t="s">
        <v>11</v>
      </c>
      <c r="X35">
        <v>0.18070573552692859</v>
      </c>
      <c r="Y35" t="s">
        <v>12</v>
      </c>
      <c r="Z35">
        <v>6.7066064826023605E-2</v>
      </c>
      <c r="AA35" t="s">
        <v>13</v>
      </c>
      <c r="AB35">
        <v>9.9669643927280643E-2</v>
      </c>
      <c r="AC35" t="s">
        <v>14</v>
      </c>
      <c r="AD35">
        <v>1.397002677363636E-2</v>
      </c>
    </row>
    <row r="36" spans="1:30" x14ac:dyDescent="0.3">
      <c r="A36">
        <v>1</v>
      </c>
      <c r="B36">
        <v>17</v>
      </c>
      <c r="C36">
        <v>3</v>
      </c>
      <c r="D36">
        <v>3600000</v>
      </c>
      <c r="E36">
        <v>61.986492101557793</v>
      </c>
      <c r="F36">
        <v>1000</v>
      </c>
      <c r="G36" t="s">
        <v>3</v>
      </c>
      <c r="H36">
        <v>0.97</v>
      </c>
      <c r="I36" t="s">
        <v>4</v>
      </c>
      <c r="J36">
        <v>3913.2781118425082</v>
      </c>
      <c r="K36" t="s">
        <v>5</v>
      </c>
      <c r="L36">
        <v>1084.237396136858</v>
      </c>
      <c r="M36" t="s">
        <v>6</v>
      </c>
      <c r="N36">
        <v>17607.906181544069</v>
      </c>
      <c r="O36" t="s">
        <v>7</v>
      </c>
      <c r="P36">
        <v>170.62450830689829</v>
      </c>
      <c r="Q36" t="s">
        <v>8</v>
      </c>
      <c r="R36">
        <v>24.82704106641788</v>
      </c>
      <c r="S36" t="s">
        <v>9</v>
      </c>
      <c r="T36">
        <v>130.71239769164109</v>
      </c>
      <c r="U36" t="s">
        <v>10</v>
      </c>
      <c r="V36">
        <v>15.085069548853291</v>
      </c>
      <c r="W36" t="s">
        <v>11</v>
      </c>
      <c r="X36">
        <v>0.16191811219635849</v>
      </c>
      <c r="Y36" t="s">
        <v>12</v>
      </c>
      <c r="Z36">
        <v>2.3560200470528321E-2</v>
      </c>
      <c r="AA36" t="s">
        <v>13</v>
      </c>
      <c r="AB36">
        <v>0.1240425826565414</v>
      </c>
      <c r="AC36" t="s">
        <v>14</v>
      </c>
      <c r="AD36">
        <v>1.4315329069301981E-2</v>
      </c>
    </row>
    <row r="37" spans="1:30" x14ac:dyDescent="0.3">
      <c r="A37">
        <v>1</v>
      </c>
      <c r="B37">
        <v>17</v>
      </c>
      <c r="C37">
        <v>3</v>
      </c>
      <c r="D37">
        <v>86400000</v>
      </c>
      <c r="E37">
        <v>1576.64817640807</v>
      </c>
      <c r="F37">
        <v>1000</v>
      </c>
      <c r="G37" t="s">
        <v>3</v>
      </c>
      <c r="H37">
        <v>1</v>
      </c>
      <c r="I37" t="s">
        <v>4</v>
      </c>
      <c r="J37">
        <v>3463.691297796177</v>
      </c>
      <c r="K37" t="s">
        <v>5</v>
      </c>
      <c r="L37">
        <v>1039.281482219696</v>
      </c>
      <c r="M37" t="s">
        <v>6</v>
      </c>
      <c r="N37">
        <v>7891.1620492935181</v>
      </c>
      <c r="O37" t="s">
        <v>7</v>
      </c>
      <c r="P37">
        <v>542.82280598300622</v>
      </c>
      <c r="Q37" t="s">
        <v>8</v>
      </c>
      <c r="R37">
        <v>68.70264621846998</v>
      </c>
      <c r="S37" t="s">
        <v>9</v>
      </c>
      <c r="T37">
        <v>105.0052895206007</v>
      </c>
      <c r="U37" t="s">
        <v>10</v>
      </c>
      <c r="V37">
        <v>369.11487024393841</v>
      </c>
      <c r="W37" t="s">
        <v>11</v>
      </c>
      <c r="X37">
        <v>2.0252300907018361E-2</v>
      </c>
      <c r="Y37" t="s">
        <v>12</v>
      </c>
      <c r="Z37">
        <v>2.5632428280259849E-3</v>
      </c>
      <c r="AA37" t="s">
        <v>13</v>
      </c>
      <c r="AB37">
        <v>3.9176664958810951E-3</v>
      </c>
      <c r="AC37" t="s">
        <v>14</v>
      </c>
      <c r="AD37">
        <v>1.377139158311139E-2</v>
      </c>
    </row>
    <row r="38" spans="1:30" x14ac:dyDescent="0.3">
      <c r="A38">
        <v>1</v>
      </c>
      <c r="B38">
        <v>17</v>
      </c>
      <c r="C38">
        <v>3</v>
      </c>
      <c r="D38">
        <v>86400000</v>
      </c>
      <c r="E38">
        <v>1441.298979003865</v>
      </c>
      <c r="F38">
        <v>1000</v>
      </c>
      <c r="G38" t="s">
        <v>3</v>
      </c>
      <c r="H38">
        <v>1</v>
      </c>
      <c r="I38" t="s">
        <v>4</v>
      </c>
      <c r="J38">
        <v>3175.5174632686799</v>
      </c>
      <c r="K38" t="s">
        <v>5</v>
      </c>
      <c r="L38">
        <v>68.21941614151001</v>
      </c>
      <c r="M38" t="s">
        <v>6</v>
      </c>
      <c r="N38">
        <v>7477.3193387985229</v>
      </c>
      <c r="O38" t="s">
        <v>7</v>
      </c>
      <c r="P38">
        <v>525.73140135981225</v>
      </c>
      <c r="Q38" t="s">
        <v>8</v>
      </c>
      <c r="R38">
        <v>68.573956974035951</v>
      </c>
      <c r="S38" t="s">
        <v>9</v>
      </c>
      <c r="T38">
        <v>102.7269099773703</v>
      </c>
      <c r="U38" t="s">
        <v>10</v>
      </c>
      <c r="V38">
        <v>354.43053440840998</v>
      </c>
      <c r="W38" t="s">
        <v>11</v>
      </c>
      <c r="X38">
        <v>2.1456600608952669E-2</v>
      </c>
      <c r="Y38" t="s">
        <v>12</v>
      </c>
      <c r="Z38">
        <v>2.798699113580981E-3</v>
      </c>
      <c r="AA38" t="s">
        <v>13</v>
      </c>
      <c r="AB38">
        <v>4.1925787074448091E-3</v>
      </c>
      <c r="AC38" t="s">
        <v>14</v>
      </c>
      <c r="AD38">
        <v>1.4465322787927041E-2</v>
      </c>
    </row>
    <row r="39" spans="1:30" x14ac:dyDescent="0.3">
      <c r="A39">
        <v>1</v>
      </c>
      <c r="B39">
        <v>17</v>
      </c>
      <c r="C39">
        <v>3</v>
      </c>
      <c r="D39">
        <v>600000</v>
      </c>
      <c r="E39">
        <v>9.853142649385056</v>
      </c>
      <c r="F39">
        <v>1000</v>
      </c>
      <c r="G39" t="s">
        <v>3</v>
      </c>
      <c r="H39">
        <v>0.91400000000000003</v>
      </c>
      <c r="I39" t="s">
        <v>4</v>
      </c>
      <c r="J39">
        <v>4304.1073588968229</v>
      </c>
      <c r="K39" t="s">
        <v>5</v>
      </c>
      <c r="L39">
        <v>198.69883526302871</v>
      </c>
      <c r="M39" t="s">
        <v>6</v>
      </c>
      <c r="N39">
        <v>18953.805083889511</v>
      </c>
      <c r="O39" t="s">
        <v>7</v>
      </c>
      <c r="P39">
        <v>165.9909001320971</v>
      </c>
      <c r="Q39" t="s">
        <v>8</v>
      </c>
      <c r="R39">
        <v>9.1119505357540405</v>
      </c>
      <c r="S39" t="s">
        <v>9</v>
      </c>
      <c r="T39">
        <v>154.64101370452639</v>
      </c>
      <c r="U39" t="s">
        <v>10</v>
      </c>
      <c r="V39">
        <v>2.2379358918279522</v>
      </c>
      <c r="W39" t="s">
        <v>11</v>
      </c>
      <c r="X39">
        <v>0.99097018519417279</v>
      </c>
      <c r="Y39" t="s">
        <v>12</v>
      </c>
      <c r="Z39">
        <v>5.4398592348800012E-2</v>
      </c>
      <c r="AA39" t="s">
        <v>13</v>
      </c>
      <c r="AB39">
        <v>0.92321105474719156</v>
      </c>
      <c r="AC39" t="s">
        <v>14</v>
      </c>
      <c r="AD39">
        <v>1.336053809824842E-2</v>
      </c>
    </row>
    <row r="40" spans="1:30" x14ac:dyDescent="0.3">
      <c r="A40">
        <v>1</v>
      </c>
      <c r="B40">
        <v>17</v>
      </c>
      <c r="C40">
        <v>3</v>
      </c>
      <c r="D40">
        <v>43200000</v>
      </c>
      <c r="E40">
        <v>737.13326069928007</v>
      </c>
      <c r="F40">
        <v>1000</v>
      </c>
      <c r="G40" t="s">
        <v>3</v>
      </c>
      <c r="H40">
        <v>0.95199999999999996</v>
      </c>
      <c r="I40" t="s">
        <v>4</v>
      </c>
      <c r="J40">
        <v>3753.3746379600889</v>
      </c>
      <c r="K40" t="s">
        <v>5</v>
      </c>
      <c r="L40">
        <v>48.541414022445679</v>
      </c>
      <c r="M40" t="s">
        <v>6</v>
      </c>
      <c r="N40">
        <v>22870.95440530777</v>
      </c>
      <c r="O40" t="s">
        <v>7</v>
      </c>
      <c r="P40">
        <v>376.43870827532021</v>
      </c>
      <c r="Q40" t="s">
        <v>8</v>
      </c>
      <c r="R40">
        <v>75.100971734966066</v>
      </c>
      <c r="S40" t="s">
        <v>9</v>
      </c>
      <c r="T40">
        <v>124.4979000009927</v>
      </c>
      <c r="U40" t="s">
        <v>10</v>
      </c>
      <c r="V40">
        <v>176.83983653936491</v>
      </c>
      <c r="W40" t="s">
        <v>11</v>
      </c>
      <c r="X40">
        <v>3.0039959676970301E-2</v>
      </c>
      <c r="Y40" t="s">
        <v>12</v>
      </c>
      <c r="Z40">
        <v>5.9930876209724126E-3</v>
      </c>
      <c r="AA40" t="s">
        <v>13</v>
      </c>
      <c r="AB40">
        <v>9.9349822791390523E-3</v>
      </c>
      <c r="AC40" t="s">
        <v>14</v>
      </c>
      <c r="AD40">
        <v>1.4111889776859111E-2</v>
      </c>
    </row>
    <row r="41" spans="1:30" x14ac:dyDescent="0.3">
      <c r="A41">
        <v>1</v>
      </c>
      <c r="B41">
        <v>17</v>
      </c>
      <c r="C41">
        <v>3</v>
      </c>
      <c r="D41">
        <v>21600000</v>
      </c>
      <c r="E41">
        <v>371.46298506339821</v>
      </c>
      <c r="F41">
        <v>1000</v>
      </c>
      <c r="G41" t="s">
        <v>3</v>
      </c>
      <c r="H41">
        <v>0.95399999999999996</v>
      </c>
      <c r="I41" t="s">
        <v>4</v>
      </c>
      <c r="J41">
        <v>3125.555946438858</v>
      </c>
      <c r="K41" t="s">
        <v>5</v>
      </c>
      <c r="L41">
        <v>1033.1244308948519</v>
      </c>
      <c r="M41" t="s">
        <v>6</v>
      </c>
      <c r="N41">
        <v>22121.39934694767</v>
      </c>
      <c r="O41" t="s">
        <v>7</v>
      </c>
      <c r="P41">
        <v>275.41256835295201</v>
      </c>
      <c r="Q41" t="s">
        <v>8</v>
      </c>
      <c r="R41">
        <v>64.90140604532796</v>
      </c>
      <c r="S41" t="s">
        <v>9</v>
      </c>
      <c r="T41">
        <v>118.4023643927116</v>
      </c>
      <c r="U41" t="s">
        <v>10</v>
      </c>
      <c r="V41">
        <v>92.108797914921638</v>
      </c>
      <c r="W41" t="s">
        <v>11</v>
      </c>
      <c r="X41">
        <v>4.361333421179104E-2</v>
      </c>
      <c r="Y41" t="s">
        <v>12</v>
      </c>
      <c r="Z41">
        <v>1.027755098323095E-2</v>
      </c>
      <c r="AA41" t="s">
        <v>13</v>
      </c>
      <c r="AB41">
        <v>1.874976846774774E-2</v>
      </c>
      <c r="AC41" t="s">
        <v>14</v>
      </c>
      <c r="AD41">
        <v>1.4586014760813811E-2</v>
      </c>
    </row>
    <row r="42" spans="1:30" x14ac:dyDescent="0.3">
      <c r="A42">
        <v>1</v>
      </c>
      <c r="B42">
        <v>17</v>
      </c>
      <c r="C42">
        <v>3</v>
      </c>
      <c r="D42">
        <v>3600000</v>
      </c>
      <c r="E42">
        <v>63.731992971631882</v>
      </c>
      <c r="F42">
        <v>1000</v>
      </c>
      <c r="G42" t="s">
        <v>3</v>
      </c>
      <c r="H42">
        <v>0.98199999999999998</v>
      </c>
      <c r="I42" t="s">
        <v>4</v>
      </c>
      <c r="J42">
        <v>4059.6542148433791</v>
      </c>
      <c r="K42" t="s">
        <v>5</v>
      </c>
      <c r="L42">
        <v>1040.9822466307669</v>
      </c>
      <c r="M42" t="s">
        <v>6</v>
      </c>
      <c r="N42">
        <v>14856.90464333445</v>
      </c>
      <c r="O42" t="s">
        <v>7</v>
      </c>
      <c r="P42">
        <v>171.38207676747979</v>
      </c>
      <c r="Q42" t="s">
        <v>8</v>
      </c>
      <c r="R42">
        <v>24.139455999769432</v>
      </c>
      <c r="S42" t="s">
        <v>9</v>
      </c>
      <c r="T42">
        <v>132.5377755263668</v>
      </c>
      <c r="U42" t="s">
        <v>10</v>
      </c>
      <c r="V42">
        <v>14.70484524135701</v>
      </c>
      <c r="W42" t="s">
        <v>11</v>
      </c>
      <c r="X42">
        <v>0.1581826985681824</v>
      </c>
      <c r="Y42" t="s">
        <v>12</v>
      </c>
      <c r="Z42">
        <v>2.2280301207879809E-2</v>
      </c>
      <c r="AA42" t="s">
        <v>13</v>
      </c>
      <c r="AB42">
        <v>0.1223300790282108</v>
      </c>
      <c r="AC42" t="s">
        <v>14</v>
      </c>
      <c r="AD42">
        <v>1.357231833210415E-2</v>
      </c>
    </row>
    <row r="43" spans="1:30" x14ac:dyDescent="0.3">
      <c r="A43">
        <v>1</v>
      </c>
      <c r="B43">
        <v>17</v>
      </c>
      <c r="C43">
        <v>3</v>
      </c>
      <c r="D43">
        <v>10800000</v>
      </c>
      <c r="E43">
        <v>195.3786942631591</v>
      </c>
      <c r="F43">
        <v>1000</v>
      </c>
      <c r="G43" t="s">
        <v>3</v>
      </c>
      <c r="H43">
        <v>0.997</v>
      </c>
      <c r="I43" t="s">
        <v>4</v>
      </c>
      <c r="J43">
        <v>2797.1884666476981</v>
      </c>
      <c r="K43" t="s">
        <v>5</v>
      </c>
      <c r="L43">
        <v>1054.8702248216141</v>
      </c>
      <c r="M43" t="s">
        <v>6</v>
      </c>
      <c r="N43">
        <v>12963.83704519272</v>
      </c>
      <c r="O43" t="s">
        <v>7</v>
      </c>
      <c r="P43">
        <v>188.79860481395639</v>
      </c>
      <c r="Q43" t="s">
        <v>8</v>
      </c>
      <c r="R43">
        <v>42.9045192883261</v>
      </c>
      <c r="S43" t="s">
        <v>9</v>
      </c>
      <c r="T43">
        <v>99.358155347567845</v>
      </c>
      <c r="U43" t="s">
        <v>10</v>
      </c>
      <c r="V43">
        <v>46.535930178073613</v>
      </c>
      <c r="W43" t="s">
        <v>11</v>
      </c>
      <c r="X43">
        <v>5.6842432717946707E-2</v>
      </c>
      <c r="Y43" t="s">
        <v>12</v>
      </c>
      <c r="Z43">
        <v>1.291745377750929E-2</v>
      </c>
      <c r="AA43" t="s">
        <v>13</v>
      </c>
      <c r="AB43">
        <v>2.991420019172689E-2</v>
      </c>
      <c r="AC43" t="s">
        <v>14</v>
      </c>
      <c r="AD43">
        <v>1.401077874871391E-2</v>
      </c>
    </row>
    <row r="44" spans="1:30" x14ac:dyDescent="0.3">
      <c r="A44">
        <v>1</v>
      </c>
      <c r="B44">
        <v>17</v>
      </c>
      <c r="C44">
        <v>3</v>
      </c>
      <c r="D44">
        <v>3600000</v>
      </c>
      <c r="E44">
        <v>62.411728835990438</v>
      </c>
      <c r="F44">
        <v>1000</v>
      </c>
      <c r="G44" t="s">
        <v>3</v>
      </c>
      <c r="H44">
        <v>0.98</v>
      </c>
      <c r="I44" t="s">
        <v>4</v>
      </c>
      <c r="J44">
        <v>4188.8765625162287</v>
      </c>
      <c r="K44" t="s">
        <v>5</v>
      </c>
      <c r="L44">
        <v>1372.0974138379099</v>
      </c>
      <c r="M44" t="s">
        <v>6</v>
      </c>
      <c r="N44">
        <v>20197.150523498651</v>
      </c>
      <c r="O44" t="s">
        <v>7</v>
      </c>
      <c r="P44">
        <v>183.4279324777907</v>
      </c>
      <c r="Q44" t="s">
        <v>8</v>
      </c>
      <c r="R44">
        <v>25.953556444211589</v>
      </c>
      <c r="S44" t="s">
        <v>9</v>
      </c>
      <c r="T44">
        <v>142.30894861500289</v>
      </c>
      <c r="U44" t="s">
        <v>10</v>
      </c>
      <c r="V44">
        <v>15.16542741858758</v>
      </c>
      <c r="W44" t="s">
        <v>11</v>
      </c>
      <c r="X44">
        <v>0.1728822223367798</v>
      </c>
      <c r="Y44" t="s">
        <v>12</v>
      </c>
      <c r="Z44">
        <v>2.4461424467953501E-2</v>
      </c>
      <c r="AA44" t="s">
        <v>13</v>
      </c>
      <c r="AB44">
        <v>0.1341272671104832</v>
      </c>
      <c r="AC44" t="s">
        <v>14</v>
      </c>
      <c r="AD44">
        <v>1.4293530758353851E-2</v>
      </c>
    </row>
    <row r="45" spans="1:30" x14ac:dyDescent="0.3">
      <c r="A45">
        <v>1</v>
      </c>
      <c r="B45">
        <v>17</v>
      </c>
      <c r="C45">
        <v>3</v>
      </c>
      <c r="D45">
        <v>600000</v>
      </c>
      <c r="E45">
        <v>10.20216937603344</v>
      </c>
      <c r="F45">
        <v>1000</v>
      </c>
      <c r="G45" t="s">
        <v>3</v>
      </c>
      <c r="H45">
        <v>0.93</v>
      </c>
      <c r="I45" t="s">
        <v>4</v>
      </c>
      <c r="J45">
        <v>4529.4229995028809</v>
      </c>
      <c r="K45" t="s">
        <v>5</v>
      </c>
      <c r="L45">
        <v>50.428777705878019</v>
      </c>
      <c r="M45" t="s">
        <v>6</v>
      </c>
      <c r="N45">
        <v>29189.033870961521</v>
      </c>
      <c r="O45" t="s">
        <v>7</v>
      </c>
      <c r="P45">
        <v>164.40448143945679</v>
      </c>
      <c r="Q45" t="s">
        <v>8</v>
      </c>
      <c r="R45">
        <v>9.7523066666926272</v>
      </c>
      <c r="S45" t="s">
        <v>9</v>
      </c>
      <c r="T45">
        <v>152.35038580533799</v>
      </c>
      <c r="U45" t="s">
        <v>10</v>
      </c>
      <c r="V45">
        <v>2.3017889674366541</v>
      </c>
      <c r="W45" t="s">
        <v>11</v>
      </c>
      <c r="X45">
        <v>0.94792112274652374</v>
      </c>
      <c r="Y45" t="s">
        <v>12</v>
      </c>
      <c r="Z45">
        <v>5.622971712157377E-2</v>
      </c>
      <c r="AA45" t="s">
        <v>13</v>
      </c>
      <c r="AB45">
        <v>0.87841978210700034</v>
      </c>
      <c r="AC45" t="s">
        <v>14</v>
      </c>
      <c r="AD45">
        <v>1.327162351800988E-2</v>
      </c>
    </row>
    <row r="46" spans="1:30" x14ac:dyDescent="0.3">
      <c r="A46">
        <v>1</v>
      </c>
      <c r="B46">
        <v>17</v>
      </c>
      <c r="C46">
        <v>3</v>
      </c>
      <c r="D46">
        <v>600000</v>
      </c>
      <c r="E46">
        <v>11.08936938409563</v>
      </c>
      <c r="F46">
        <v>1000</v>
      </c>
      <c r="G46" t="s">
        <v>3</v>
      </c>
      <c r="H46">
        <v>0.95399999999999996</v>
      </c>
      <c r="I46" t="s">
        <v>4</v>
      </c>
      <c r="J46">
        <v>3395.2600478471209</v>
      </c>
      <c r="K46" t="s">
        <v>5</v>
      </c>
      <c r="L46">
        <v>41.636212561279542</v>
      </c>
      <c r="M46" t="s">
        <v>6</v>
      </c>
      <c r="N46">
        <v>11830.295871619141</v>
      </c>
      <c r="O46" t="s">
        <v>7</v>
      </c>
      <c r="P46">
        <v>181.1124582876046</v>
      </c>
      <c r="Q46" t="s">
        <v>8</v>
      </c>
      <c r="R46">
        <v>70.447213864637504</v>
      </c>
      <c r="S46" t="s">
        <v>9</v>
      </c>
      <c r="T46">
        <v>108.0806634454387</v>
      </c>
      <c r="U46" t="s">
        <v>10</v>
      </c>
      <c r="V46">
        <v>2.5845809775401372</v>
      </c>
      <c r="W46" t="s">
        <v>11</v>
      </c>
      <c r="X46">
        <v>0.96071053708404897</v>
      </c>
      <c r="Y46" t="s">
        <v>12</v>
      </c>
      <c r="Z46">
        <v>0.37368705227608712</v>
      </c>
      <c r="AA46" t="s">
        <v>13</v>
      </c>
      <c r="AB46">
        <v>0.57331358211802341</v>
      </c>
      <c r="AC46" t="s">
        <v>14</v>
      </c>
      <c r="AD46">
        <v>1.370990269000032E-2</v>
      </c>
    </row>
    <row r="47" spans="1:30" x14ac:dyDescent="0.3">
      <c r="A47">
        <v>1</v>
      </c>
      <c r="B47">
        <v>17</v>
      </c>
      <c r="C47">
        <v>3</v>
      </c>
      <c r="D47">
        <v>600000</v>
      </c>
      <c r="E47">
        <v>10.406320576559031</v>
      </c>
      <c r="F47">
        <v>1000</v>
      </c>
      <c r="G47" t="s">
        <v>3</v>
      </c>
      <c r="H47">
        <v>0.91100000000000003</v>
      </c>
      <c r="I47" t="s">
        <v>4</v>
      </c>
      <c r="J47">
        <v>4363.2712678360049</v>
      </c>
      <c r="K47" t="s">
        <v>5</v>
      </c>
      <c r="L47">
        <v>1034.1975746373651</v>
      </c>
      <c r="M47" t="s">
        <v>6</v>
      </c>
      <c r="N47">
        <v>31995.338745120909</v>
      </c>
      <c r="O47" t="s">
        <v>7</v>
      </c>
      <c r="P47">
        <v>213.33617247925091</v>
      </c>
      <c r="Q47" t="s">
        <v>8</v>
      </c>
      <c r="R47">
        <v>80.328609202786467</v>
      </c>
      <c r="S47" t="s">
        <v>9</v>
      </c>
      <c r="T47">
        <v>130.601728818298</v>
      </c>
      <c r="U47" t="s">
        <v>10</v>
      </c>
      <c r="V47">
        <v>2.4058344581775959</v>
      </c>
      <c r="W47" t="s">
        <v>11</v>
      </c>
      <c r="X47">
        <v>1.205919664313865</v>
      </c>
      <c r="Y47" t="s">
        <v>12</v>
      </c>
      <c r="Z47">
        <v>0.45407137626435778</v>
      </c>
      <c r="AA47" t="s">
        <v>13</v>
      </c>
      <c r="AB47">
        <v>0.73824889208926947</v>
      </c>
      <c r="AC47" t="s">
        <v>14</v>
      </c>
      <c r="AD47">
        <v>1.359939596030031E-2</v>
      </c>
    </row>
    <row r="48" spans="1:30" x14ac:dyDescent="0.3">
      <c r="A48">
        <v>1</v>
      </c>
      <c r="B48">
        <v>17</v>
      </c>
      <c r="C48">
        <v>3</v>
      </c>
      <c r="D48">
        <v>600000</v>
      </c>
      <c r="E48">
        <v>10.60859749347075</v>
      </c>
      <c r="F48">
        <v>1000</v>
      </c>
      <c r="G48" t="s">
        <v>3</v>
      </c>
      <c r="H48">
        <v>0.93400000000000005</v>
      </c>
      <c r="I48" t="s">
        <v>4</v>
      </c>
      <c r="J48">
        <v>4045.4337075211151</v>
      </c>
      <c r="K48" t="s">
        <v>5</v>
      </c>
      <c r="L48">
        <v>1044.427815027535</v>
      </c>
      <c r="M48" t="s">
        <v>6</v>
      </c>
      <c r="N48">
        <v>18135.238722097129</v>
      </c>
      <c r="O48" t="s">
        <v>7</v>
      </c>
      <c r="P48">
        <v>186.50186318334761</v>
      </c>
      <c r="Q48" t="s">
        <v>8</v>
      </c>
      <c r="R48">
        <v>71.677043308604766</v>
      </c>
      <c r="S48" t="s">
        <v>9</v>
      </c>
      <c r="T48">
        <v>112.4407182513948</v>
      </c>
      <c r="U48" t="s">
        <v>10</v>
      </c>
      <c r="V48">
        <v>2.384101623359502</v>
      </c>
      <c r="W48" t="s">
        <v>11</v>
      </c>
      <c r="X48">
        <v>1.034132724996558</v>
      </c>
      <c r="Y48" t="s">
        <v>12</v>
      </c>
      <c r="Z48">
        <v>0.39744147780204098</v>
      </c>
      <c r="AA48" t="s">
        <v>13</v>
      </c>
      <c r="AB48">
        <v>0.62347166071779725</v>
      </c>
      <c r="AC48" t="s">
        <v>14</v>
      </c>
      <c r="AD48">
        <v>1.321958647678334E-2</v>
      </c>
    </row>
    <row r="49" spans="1:30" x14ac:dyDescent="0.3">
      <c r="A49">
        <v>1</v>
      </c>
      <c r="B49">
        <v>17</v>
      </c>
      <c r="C49">
        <v>3</v>
      </c>
      <c r="D49">
        <v>3600000</v>
      </c>
      <c r="E49">
        <v>8.4738436400693562</v>
      </c>
      <c r="F49">
        <v>100</v>
      </c>
      <c r="G49" t="s">
        <v>3</v>
      </c>
      <c r="H49">
        <v>0.96</v>
      </c>
      <c r="I49" t="s">
        <v>4</v>
      </c>
      <c r="J49">
        <v>3527.2440091753251</v>
      </c>
      <c r="K49" t="s">
        <v>5</v>
      </c>
      <c r="L49">
        <v>45.270055469591171</v>
      </c>
      <c r="M49" t="s">
        <v>6</v>
      </c>
      <c r="N49">
        <v>13056.745117519051</v>
      </c>
      <c r="O49" t="s">
        <v>7</v>
      </c>
      <c r="P49">
        <v>16.985806389955041</v>
      </c>
      <c r="Q49" t="s">
        <v>8</v>
      </c>
      <c r="R49">
        <v>2.8196295111139329</v>
      </c>
      <c r="S49" t="s">
        <v>9</v>
      </c>
      <c r="T49">
        <v>12.73527526903726</v>
      </c>
      <c r="U49" t="s">
        <v>10</v>
      </c>
      <c r="V49">
        <v>1.4309016098049701</v>
      </c>
      <c r="W49" t="s">
        <v>11</v>
      </c>
      <c r="X49">
        <v>0.11791167316770119</v>
      </c>
      <c r="Y49" t="s">
        <v>12</v>
      </c>
      <c r="Z49">
        <v>1.957323813399189E-2</v>
      </c>
      <c r="AA49" t="s">
        <v>13</v>
      </c>
      <c r="AB49">
        <v>8.8405435735536123E-2</v>
      </c>
      <c r="AC49" t="s">
        <v>14</v>
      </c>
      <c r="AD49">
        <v>9.9329992981809605E-3</v>
      </c>
    </row>
    <row r="50" spans="1:30" x14ac:dyDescent="0.3">
      <c r="A50">
        <v>1</v>
      </c>
      <c r="B50">
        <v>17</v>
      </c>
      <c r="C50">
        <v>3</v>
      </c>
      <c r="D50">
        <v>3600000</v>
      </c>
      <c r="E50">
        <v>10.444080218107141</v>
      </c>
      <c r="F50">
        <v>100</v>
      </c>
      <c r="G50" t="s">
        <v>3</v>
      </c>
      <c r="H50">
        <v>0.98</v>
      </c>
      <c r="I50" t="s">
        <v>4</v>
      </c>
      <c r="J50">
        <v>4202.0854518406413</v>
      </c>
      <c r="K50" t="s">
        <v>5</v>
      </c>
      <c r="L50">
        <v>1384.241190094501</v>
      </c>
      <c r="M50" t="s">
        <v>6</v>
      </c>
      <c r="N50">
        <v>22072.48975257948</v>
      </c>
      <c r="O50" t="s">
        <v>7</v>
      </c>
      <c r="P50">
        <v>18.104762198507458</v>
      </c>
      <c r="Q50" t="s">
        <v>8</v>
      </c>
      <c r="R50">
        <v>2.8851464888906828</v>
      </c>
      <c r="S50" t="s">
        <v>9</v>
      </c>
      <c r="T50">
        <v>14.071329638633991</v>
      </c>
      <c r="U50" t="s">
        <v>10</v>
      </c>
      <c r="V50">
        <v>1.1482860709839611</v>
      </c>
      <c r="W50" t="s">
        <v>11</v>
      </c>
      <c r="X50">
        <v>0.101970301782106</v>
      </c>
      <c r="Y50" t="s">
        <v>12</v>
      </c>
      <c r="Z50">
        <v>1.6249827251639912E-2</v>
      </c>
      <c r="AA50" t="s">
        <v>13</v>
      </c>
      <c r="AB50">
        <v>7.9253055853188134E-2</v>
      </c>
      <c r="AC50" t="s">
        <v>14</v>
      </c>
      <c r="AD50">
        <v>6.4674186772845999E-3</v>
      </c>
    </row>
    <row r="51" spans="1:30" x14ac:dyDescent="0.3">
      <c r="A51">
        <v>1</v>
      </c>
      <c r="B51">
        <v>17</v>
      </c>
      <c r="C51">
        <v>3</v>
      </c>
      <c r="D51">
        <v>3600000</v>
      </c>
      <c r="E51">
        <v>61.77361532778022</v>
      </c>
      <c r="F51">
        <v>1000</v>
      </c>
      <c r="G51" t="s">
        <v>3</v>
      </c>
      <c r="H51">
        <v>0.98799999999999999</v>
      </c>
      <c r="I51" t="s">
        <v>4</v>
      </c>
      <c r="J51">
        <v>3700.2675696107458</v>
      </c>
      <c r="K51" t="s">
        <v>5</v>
      </c>
      <c r="L51">
        <v>1196.7342982441189</v>
      </c>
      <c r="M51" t="s">
        <v>6</v>
      </c>
      <c r="N51">
        <v>17364.957956150171</v>
      </c>
      <c r="O51" t="s">
        <v>7</v>
      </c>
      <c r="P51">
        <v>171.37289588199999</v>
      </c>
      <c r="Q51" t="s">
        <v>8</v>
      </c>
      <c r="R51">
        <v>23.952111822003189</v>
      </c>
      <c r="S51" t="s">
        <v>9</v>
      </c>
      <c r="T51">
        <v>132.49346776640201</v>
      </c>
      <c r="U51" t="s">
        <v>10</v>
      </c>
      <c r="V51">
        <v>14.927316293606831</v>
      </c>
      <c r="W51" t="s">
        <v>11</v>
      </c>
      <c r="X51">
        <v>0.16318874211593529</v>
      </c>
      <c r="Y51" t="s">
        <v>12</v>
      </c>
      <c r="Z51">
        <v>2.280824502110473E-2</v>
      </c>
      <c r="AA51" t="s">
        <v>13</v>
      </c>
      <c r="AB51">
        <v>0.12616605579370591</v>
      </c>
      <c r="AC51" t="s">
        <v>14</v>
      </c>
      <c r="AD51">
        <v>1.421444130113615E-2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Nalith</dc:creator>
  <cp:lastModifiedBy>Nalith Udugampola</cp:lastModifiedBy>
  <dcterms:created xsi:type="dcterms:W3CDTF">2015-06-05T18:17:20Z</dcterms:created>
  <dcterms:modified xsi:type="dcterms:W3CDTF">2026-03-11T08:18:57Z</dcterms:modified>
</cp:coreProperties>
</file>